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OneDrive\Desktop\Excel\Output\"/>
    </mc:Choice>
  </mc:AlternateContent>
  <xr:revisionPtr revIDLastSave="0" documentId="8_{A1643303-847F-4321-B75D-9E5420B3FBD1}" xr6:coauthVersionLast="47" xr6:coauthVersionMax="47" xr10:uidLastSave="{00000000-0000-0000-0000-000000000000}"/>
  <bookViews>
    <workbookView xWindow="-108" yWindow="-108" windowWidth="23256" windowHeight="12576" xr2:uid="{99B72E82-B3E2-4CF0-9E19-E993D28F685B}"/>
  </bookViews>
  <sheets>
    <sheet name="Customer Center Dashboard" sheetId="3" r:id="rId1"/>
    <sheet name="Pivot" sheetId="4" r:id="rId2"/>
    <sheet name="Data" sheetId="1" r:id="rId3"/>
  </sheets>
  <definedNames>
    <definedName name="_xlcn.WorksheetConnection_Book1calls1" hidden="1">calls[]</definedName>
    <definedName name="_xlcn.WorksheetConnection_Book1customers1" hidden="1">customers[]</definedName>
    <definedName name="Slicer_Representative">#N/A</definedName>
  </definedNames>
  <calcPr calcId="191029"/>
  <pivotCaches>
    <pivotCache cacheId="319" r:id="rId4"/>
    <pivotCache cacheId="608" r:id="rId5"/>
    <pivotCache cacheId="1453" r:id="rId6"/>
    <pivotCache cacheId="1492" r:id="rId7"/>
    <pivotCache cacheId="1495" r:id="rId8"/>
    <pivotCache cacheId="1498" r:id="rId9"/>
    <pivotCache cacheId="1501" r:id="rId10"/>
    <pivotCache cacheId="1504" r:id="rId11"/>
    <pivotCache cacheId="1507" r:id="rId12"/>
  </pivotCaches>
  <extLst>
    <ext xmlns:x14="http://schemas.microsoft.com/office/spreadsheetml/2009/9/main" uri="{876F7934-8845-4945-9796-88D515C7AA90}">
      <x14:pivotCaches>
        <pivotCache cacheId="12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Book1!calls"/>
          <x15:modelTable id="customers" name="customers" connection="WorksheetConnection_Book1!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P20" i="3" l="1"/>
  <c r="O19" i="3"/>
  <c r="O20" i="3"/>
  <c r="Q20" i="3"/>
  <c r="R20" i="3"/>
  <c r="S20" i="3"/>
  <c r="T20" i="3"/>
  <c r="U20" i="3"/>
  <c r="O21" i="3"/>
  <c r="P21" i="3"/>
  <c r="Q21" i="3"/>
  <c r="R21" i="3"/>
  <c r="S21" i="3"/>
  <c r="T21" i="3"/>
  <c r="U21" i="3"/>
  <c r="O22" i="3"/>
  <c r="P22" i="3"/>
  <c r="Q22" i="3"/>
  <c r="R22" i="3"/>
  <c r="S22" i="3"/>
  <c r="T22" i="3"/>
  <c r="U22" i="3"/>
  <c r="O23" i="3"/>
  <c r="P23" i="3"/>
  <c r="Q23" i="3"/>
  <c r="R23" i="3"/>
  <c r="S23" i="3"/>
  <c r="T23" i="3"/>
  <c r="U23" i="3"/>
  <c r="O24" i="3"/>
  <c r="O25" i="3"/>
  <c r="P25" i="3"/>
  <c r="Q25" i="3"/>
  <c r="R25" i="3"/>
  <c r="S25" i="3"/>
  <c r="T25" i="3"/>
  <c r="U25" i="3"/>
  <c r="O26" i="3"/>
  <c r="P26" i="3"/>
  <c r="Q26" i="3"/>
  <c r="R26" i="3"/>
  <c r="S26" i="3"/>
  <c r="T26" i="3"/>
  <c r="U26" i="3"/>
  <c r="O27" i="3"/>
  <c r="P27" i="3"/>
  <c r="Q27" i="3"/>
  <c r="R27" i="3"/>
  <c r="S27" i="3"/>
  <c r="T27" i="3"/>
  <c r="U27" i="3"/>
  <c r="O28" i="3"/>
  <c r="P28" i="3"/>
  <c r="Q28" i="3"/>
  <c r="R28" i="3"/>
  <c r="S28" i="3"/>
  <c r="T28" i="3"/>
  <c r="U28" i="3"/>
  <c r="O29" i="3"/>
  <c r="P29" i="3"/>
  <c r="Q29" i="3"/>
  <c r="R29" i="3"/>
  <c r="S29" i="3"/>
  <c r="T29" i="3"/>
  <c r="U29" i="3"/>
  <c r="O30" i="3"/>
  <c r="P30" i="3"/>
  <c r="Q30" i="3"/>
  <c r="R30" i="3"/>
  <c r="S30" i="3"/>
  <c r="T30" i="3"/>
  <c r="U30" i="3"/>
  <c r="O31" i="3"/>
  <c r="O32" i="3"/>
  <c r="P32" i="3"/>
  <c r="Q32" i="3"/>
  <c r="R32" i="3"/>
  <c r="S32" i="3"/>
  <c r="T32" i="3"/>
  <c r="U32" i="3"/>
  <c r="O33" i="3"/>
  <c r="P33" i="3"/>
  <c r="Q33" i="3"/>
  <c r="R33" i="3"/>
  <c r="S33" i="3"/>
  <c r="T33" i="3"/>
  <c r="U33" i="3"/>
  <c r="O34" i="3"/>
  <c r="P34" i="3"/>
  <c r="Q34" i="3"/>
  <c r="R34" i="3"/>
  <c r="S34" i="3"/>
  <c r="T34" i="3"/>
  <c r="U34" i="3"/>
  <c r="O35" i="3"/>
  <c r="P35" i="3"/>
  <c r="Q35" i="3"/>
  <c r="R35" i="3"/>
  <c r="S35" i="3"/>
  <c r="T35" i="3"/>
  <c r="U35" i="3"/>
  <c r="O36" i="3"/>
  <c r="P36" i="3"/>
  <c r="Q36" i="3"/>
  <c r="R36" i="3"/>
  <c r="S36" i="3"/>
  <c r="T36" i="3"/>
  <c r="U36" i="3"/>
  <c r="K1001" i="1"/>
  <c r="J1001" i="1" a="1"/>
  <c r="J1001" i="1" s="1"/>
  <c r="I1001" i="1"/>
  <c r="H1001" i="1"/>
  <c r="K1000" i="1"/>
  <c r="J1000" i="1" a="1"/>
  <c r="J1000" i="1" s="1"/>
  <c r="I1000" i="1"/>
  <c r="H1000" i="1"/>
  <c r="K999" i="1"/>
  <c r="J999" i="1" a="1"/>
  <c r="J999" i="1" s="1"/>
  <c r="I999" i="1"/>
  <c r="H999" i="1"/>
  <c r="K998" i="1"/>
  <c r="J998" i="1" a="1"/>
  <c r="J998" i="1" s="1"/>
  <c r="I998" i="1"/>
  <c r="H998" i="1"/>
  <c r="K997" i="1"/>
  <c r="J997" i="1" a="1"/>
  <c r="J997" i="1" s="1"/>
  <c r="I997" i="1"/>
  <c r="H997" i="1"/>
  <c r="K996" i="1"/>
  <c r="J996" i="1"/>
  <c r="J996" i="1" a="1"/>
  <c r="I996" i="1"/>
  <c r="H996" i="1"/>
  <c r="K995" i="1"/>
  <c r="J995" i="1" a="1"/>
  <c r="J995" i="1" s="1"/>
  <c r="I995" i="1"/>
  <c r="H995" i="1"/>
  <c r="K994" i="1"/>
  <c r="J994" i="1"/>
  <c r="J994" i="1" a="1"/>
  <c r="I994" i="1"/>
  <c r="H994" i="1"/>
  <c r="K993" i="1"/>
  <c r="J993" i="1"/>
  <c r="J993" i="1" a="1"/>
  <c r="I993" i="1"/>
  <c r="H993" i="1"/>
  <c r="K992" i="1"/>
  <c r="J992" i="1" a="1"/>
  <c r="J992" i="1" s="1"/>
  <c r="I992" i="1"/>
  <c r="H992" i="1"/>
  <c r="K991" i="1"/>
  <c r="J991" i="1" a="1"/>
  <c r="J991" i="1" s="1"/>
  <c r="I991" i="1"/>
  <c r="H991" i="1"/>
  <c r="K990" i="1"/>
  <c r="J990" i="1" a="1"/>
  <c r="J990" i="1" s="1"/>
  <c r="I990" i="1"/>
  <c r="H990" i="1"/>
  <c r="K989" i="1"/>
  <c r="J989" i="1"/>
  <c r="J989" i="1" a="1"/>
  <c r="I989" i="1"/>
  <c r="H989" i="1"/>
  <c r="K988" i="1"/>
  <c r="J988" i="1"/>
  <c r="J988" i="1" a="1"/>
  <c r="I988" i="1"/>
  <c r="H988" i="1"/>
  <c r="K987" i="1"/>
  <c r="J987" i="1" a="1"/>
  <c r="J987" i="1" s="1"/>
  <c r="I987" i="1"/>
  <c r="H987" i="1"/>
  <c r="K986" i="1"/>
  <c r="J986" i="1" a="1"/>
  <c r="J986" i="1" s="1"/>
  <c r="I986" i="1"/>
  <c r="H986" i="1"/>
  <c r="K985" i="1"/>
  <c r="J985" i="1"/>
  <c r="J985" i="1" a="1"/>
  <c r="I985" i="1"/>
  <c r="H985" i="1"/>
  <c r="K984" i="1"/>
  <c r="J984" i="1" a="1"/>
  <c r="J984" i="1" s="1"/>
  <c r="I984" i="1"/>
  <c r="H984" i="1"/>
  <c r="K983" i="1"/>
  <c r="J983" i="1" a="1"/>
  <c r="J983" i="1" s="1"/>
  <c r="I983" i="1"/>
  <c r="H983" i="1"/>
  <c r="K982" i="1"/>
  <c r="J982" i="1" a="1"/>
  <c r="J982" i="1" s="1"/>
  <c r="I982" i="1"/>
  <c r="H982" i="1"/>
  <c r="K981" i="1"/>
  <c r="J981" i="1"/>
  <c r="J981" i="1" a="1"/>
  <c r="I981" i="1"/>
  <c r="H981" i="1"/>
  <c r="K980" i="1"/>
  <c r="J980" i="1"/>
  <c r="J980" i="1" a="1"/>
  <c r="I980" i="1"/>
  <c r="H980" i="1"/>
  <c r="K979" i="1"/>
  <c r="J979" i="1" a="1"/>
  <c r="J979" i="1" s="1"/>
  <c r="I979" i="1"/>
  <c r="H979" i="1"/>
  <c r="K978" i="1"/>
  <c r="J978" i="1" a="1"/>
  <c r="J978" i="1" s="1"/>
  <c r="I978" i="1"/>
  <c r="H978" i="1"/>
  <c r="K977" i="1"/>
  <c r="J977" i="1"/>
  <c r="J977" i="1" a="1"/>
  <c r="I977" i="1"/>
  <c r="H977" i="1"/>
  <c r="K976" i="1"/>
  <c r="J976" i="1" a="1"/>
  <c r="J976" i="1" s="1"/>
  <c r="I976" i="1"/>
  <c r="H976" i="1"/>
  <c r="K975" i="1"/>
  <c r="J975" i="1" a="1"/>
  <c r="J975" i="1" s="1"/>
  <c r="I975" i="1"/>
  <c r="H975" i="1"/>
  <c r="K974" i="1"/>
  <c r="J974" i="1" a="1"/>
  <c r="J974" i="1" s="1"/>
  <c r="I974" i="1"/>
  <c r="H974" i="1"/>
  <c r="K973" i="1"/>
  <c r="J973" i="1"/>
  <c r="J973" i="1" a="1"/>
  <c r="I973" i="1"/>
  <c r="H973" i="1"/>
  <c r="K972" i="1"/>
  <c r="J972" i="1"/>
  <c r="J972" i="1" a="1"/>
  <c r="I972" i="1"/>
  <c r="H972" i="1"/>
  <c r="K971" i="1"/>
  <c r="J971" i="1" a="1"/>
  <c r="J971" i="1" s="1"/>
  <c r="I971" i="1"/>
  <c r="H971" i="1"/>
  <c r="K970" i="1"/>
  <c r="J970" i="1" a="1"/>
  <c r="J970" i="1" s="1"/>
  <c r="I970" i="1"/>
  <c r="H970" i="1"/>
  <c r="K969" i="1"/>
  <c r="J969" i="1"/>
  <c r="J969" i="1" a="1"/>
  <c r="I969" i="1"/>
  <c r="H969" i="1"/>
  <c r="K968" i="1"/>
  <c r="J968" i="1" a="1"/>
  <c r="J968" i="1" s="1"/>
  <c r="I968" i="1"/>
  <c r="H968" i="1"/>
  <c r="K967" i="1"/>
  <c r="J967" i="1" a="1"/>
  <c r="J967" i="1" s="1"/>
  <c r="I967" i="1"/>
  <c r="H967" i="1"/>
  <c r="K966" i="1"/>
  <c r="J966" i="1"/>
  <c r="J966" i="1" a="1"/>
  <c r="I966" i="1"/>
  <c r="H966" i="1"/>
  <c r="K965" i="1"/>
  <c r="J965" i="1"/>
  <c r="J965" i="1" a="1"/>
  <c r="I965" i="1"/>
  <c r="H965" i="1"/>
  <c r="K964" i="1"/>
  <c r="J964" i="1"/>
  <c r="J964" i="1" a="1"/>
  <c r="I964" i="1"/>
  <c r="H964" i="1"/>
  <c r="K963" i="1"/>
  <c r="J963" i="1" a="1"/>
  <c r="J963" i="1" s="1"/>
  <c r="I963" i="1"/>
  <c r="H963" i="1"/>
  <c r="K962" i="1"/>
  <c r="J962" i="1" a="1"/>
  <c r="J962" i="1" s="1"/>
  <c r="I962" i="1"/>
  <c r="H962" i="1"/>
  <c r="K961" i="1"/>
  <c r="J961" i="1"/>
  <c r="J961" i="1" a="1"/>
  <c r="I961" i="1"/>
  <c r="H961" i="1"/>
  <c r="K960" i="1"/>
  <c r="J960" i="1" a="1"/>
  <c r="J960" i="1" s="1"/>
  <c r="I960" i="1"/>
  <c r="H960" i="1"/>
  <c r="K959" i="1"/>
  <c r="J959" i="1" a="1"/>
  <c r="J959" i="1" s="1"/>
  <c r="I959" i="1"/>
  <c r="H959" i="1"/>
  <c r="K958" i="1"/>
  <c r="J958" i="1" a="1"/>
  <c r="J958" i="1" s="1"/>
  <c r="I958" i="1"/>
  <c r="H958" i="1"/>
  <c r="K957" i="1"/>
  <c r="J957" i="1"/>
  <c r="J957" i="1" a="1"/>
  <c r="I957" i="1"/>
  <c r="H957" i="1"/>
  <c r="K956" i="1"/>
  <c r="J956" i="1"/>
  <c r="J956" i="1" a="1"/>
  <c r="I956" i="1"/>
  <c r="H956" i="1"/>
  <c r="K955" i="1"/>
  <c r="J955" i="1" a="1"/>
  <c r="J955" i="1" s="1"/>
  <c r="I955" i="1"/>
  <c r="H955" i="1"/>
  <c r="K954" i="1"/>
  <c r="J954" i="1"/>
  <c r="J954" i="1" a="1"/>
  <c r="I954" i="1"/>
  <c r="H954" i="1"/>
  <c r="K953" i="1"/>
  <c r="J953" i="1"/>
  <c r="J953" i="1" a="1"/>
  <c r="I953" i="1"/>
  <c r="H953" i="1"/>
  <c r="K952" i="1"/>
  <c r="J952" i="1" a="1"/>
  <c r="J952" i="1" s="1"/>
  <c r="I952" i="1"/>
  <c r="H952" i="1"/>
  <c r="K951" i="1"/>
  <c r="J951" i="1" a="1"/>
  <c r="J951" i="1" s="1"/>
  <c r="I951" i="1"/>
  <c r="H951" i="1"/>
  <c r="K950" i="1"/>
  <c r="J950" i="1"/>
  <c r="J950" i="1" a="1"/>
  <c r="I950" i="1"/>
  <c r="H950" i="1"/>
  <c r="K949" i="1"/>
  <c r="J949" i="1"/>
  <c r="J949" i="1" a="1"/>
  <c r="I949" i="1"/>
  <c r="H949" i="1"/>
  <c r="K948" i="1"/>
  <c r="J948" i="1"/>
  <c r="J948" i="1" a="1"/>
  <c r="I948" i="1"/>
  <c r="H948" i="1"/>
  <c r="K947" i="1"/>
  <c r="J947" i="1" a="1"/>
  <c r="J947" i="1" s="1"/>
  <c r="I947" i="1"/>
  <c r="H947" i="1"/>
  <c r="K946" i="1"/>
  <c r="J946" i="1" a="1"/>
  <c r="J946" i="1" s="1"/>
  <c r="I946" i="1"/>
  <c r="H946" i="1"/>
  <c r="K945" i="1"/>
  <c r="J945" i="1"/>
  <c r="J945" i="1" a="1"/>
  <c r="I945" i="1"/>
  <c r="H945" i="1"/>
  <c r="K944" i="1"/>
  <c r="J944" i="1" a="1"/>
  <c r="J944" i="1" s="1"/>
  <c r="I944" i="1"/>
  <c r="H944" i="1"/>
  <c r="K943" i="1"/>
  <c r="J943" i="1" a="1"/>
  <c r="J943" i="1" s="1"/>
  <c r="I943" i="1"/>
  <c r="H943" i="1"/>
  <c r="K942" i="1"/>
  <c r="J942" i="1" a="1"/>
  <c r="J942" i="1" s="1"/>
  <c r="I942" i="1"/>
  <c r="H942" i="1"/>
  <c r="K941" i="1"/>
  <c r="J941" i="1"/>
  <c r="J941" i="1" a="1"/>
  <c r="I941" i="1"/>
  <c r="H941" i="1"/>
  <c r="K940" i="1"/>
  <c r="J940" i="1"/>
  <c r="J940" i="1" a="1"/>
  <c r="I940" i="1"/>
  <c r="H940" i="1"/>
  <c r="K939" i="1"/>
  <c r="J939" i="1" a="1"/>
  <c r="J939" i="1" s="1"/>
  <c r="I939" i="1"/>
  <c r="H939" i="1"/>
  <c r="K938" i="1"/>
  <c r="J938" i="1"/>
  <c r="J938" i="1" a="1"/>
  <c r="I938" i="1"/>
  <c r="H938" i="1"/>
  <c r="K937" i="1"/>
  <c r="J937" i="1"/>
  <c r="J937" i="1" a="1"/>
  <c r="I937" i="1"/>
  <c r="H937" i="1"/>
  <c r="K936" i="1"/>
  <c r="J936" i="1" a="1"/>
  <c r="J936" i="1" s="1"/>
  <c r="I936" i="1"/>
  <c r="H936" i="1"/>
  <c r="K935" i="1"/>
  <c r="J935" i="1" a="1"/>
  <c r="J935" i="1" s="1"/>
  <c r="I935" i="1"/>
  <c r="H935" i="1"/>
  <c r="K934" i="1"/>
  <c r="J934" i="1" a="1"/>
  <c r="J934" i="1" s="1"/>
  <c r="I934" i="1"/>
  <c r="H934" i="1"/>
  <c r="K933" i="1"/>
  <c r="J933" i="1"/>
  <c r="J933" i="1" a="1"/>
  <c r="I933" i="1"/>
  <c r="H933" i="1"/>
  <c r="K932" i="1"/>
  <c r="J932" i="1"/>
  <c r="J932" i="1" a="1"/>
  <c r="I932" i="1"/>
  <c r="H932" i="1"/>
  <c r="K931" i="1"/>
  <c r="J931" i="1" a="1"/>
  <c r="J931" i="1" s="1"/>
  <c r="I931" i="1"/>
  <c r="H931" i="1"/>
  <c r="K930" i="1"/>
  <c r="J930" i="1" a="1"/>
  <c r="J930" i="1" s="1"/>
  <c r="I930" i="1"/>
  <c r="H930" i="1"/>
  <c r="K929" i="1"/>
  <c r="J929" i="1"/>
  <c r="J929" i="1" a="1"/>
  <c r="I929" i="1"/>
  <c r="H929" i="1"/>
  <c r="K928" i="1"/>
  <c r="J928" i="1" a="1"/>
  <c r="J928" i="1" s="1"/>
  <c r="I928" i="1"/>
  <c r="H928" i="1"/>
  <c r="K927" i="1"/>
  <c r="J927" i="1" a="1"/>
  <c r="J927" i="1" s="1"/>
  <c r="I927" i="1"/>
  <c r="H927" i="1"/>
  <c r="K926" i="1"/>
  <c r="J926" i="1" a="1"/>
  <c r="J926" i="1" s="1"/>
  <c r="I926" i="1"/>
  <c r="H926" i="1"/>
  <c r="K925" i="1"/>
  <c r="J925" i="1"/>
  <c r="J925" i="1" a="1"/>
  <c r="I925" i="1"/>
  <c r="H925" i="1"/>
  <c r="K924" i="1"/>
  <c r="J924" i="1"/>
  <c r="J924" i="1" a="1"/>
  <c r="I924" i="1"/>
  <c r="H924" i="1"/>
  <c r="K923" i="1"/>
  <c r="J923" i="1" a="1"/>
  <c r="J923" i="1" s="1"/>
  <c r="I923" i="1"/>
  <c r="H923" i="1"/>
  <c r="K922" i="1"/>
  <c r="J922" i="1" a="1"/>
  <c r="J922" i="1" s="1"/>
  <c r="I922" i="1"/>
  <c r="H922" i="1"/>
  <c r="K921" i="1"/>
  <c r="J921" i="1"/>
  <c r="J921" i="1" a="1"/>
  <c r="I921" i="1"/>
  <c r="H921" i="1"/>
  <c r="K920" i="1"/>
  <c r="J920" i="1" a="1"/>
  <c r="J920" i="1" s="1"/>
  <c r="I920" i="1"/>
  <c r="H920" i="1"/>
  <c r="K919" i="1"/>
  <c r="J919" i="1" a="1"/>
  <c r="J919" i="1" s="1"/>
  <c r="I919" i="1"/>
  <c r="H919" i="1"/>
  <c r="K918" i="1"/>
  <c r="J918" i="1" a="1"/>
  <c r="J918" i="1" s="1"/>
  <c r="I918" i="1"/>
  <c r="H918" i="1"/>
  <c r="K917" i="1"/>
  <c r="J917" i="1"/>
  <c r="J917" i="1" a="1"/>
  <c r="I917" i="1"/>
  <c r="H917" i="1"/>
  <c r="K916" i="1"/>
  <c r="J916" i="1"/>
  <c r="J916" i="1" a="1"/>
  <c r="I916" i="1"/>
  <c r="H916" i="1"/>
  <c r="K915" i="1"/>
  <c r="J915" i="1" a="1"/>
  <c r="J915" i="1" s="1"/>
  <c r="I915" i="1"/>
  <c r="H915" i="1"/>
  <c r="K914" i="1"/>
  <c r="J914" i="1" a="1"/>
  <c r="J914" i="1" s="1"/>
  <c r="I914" i="1"/>
  <c r="H914" i="1"/>
  <c r="K913" i="1"/>
  <c r="J913" i="1"/>
  <c r="J913" i="1" a="1"/>
  <c r="I913" i="1"/>
  <c r="H913" i="1"/>
  <c r="K912" i="1"/>
  <c r="J912" i="1" a="1"/>
  <c r="J912" i="1" s="1"/>
  <c r="I912" i="1"/>
  <c r="H912" i="1"/>
  <c r="K911" i="1"/>
  <c r="J911" i="1" a="1"/>
  <c r="J911" i="1" s="1"/>
  <c r="I911" i="1"/>
  <c r="H911" i="1"/>
  <c r="K910" i="1"/>
  <c r="J910" i="1" a="1"/>
  <c r="J910" i="1" s="1"/>
  <c r="I910" i="1"/>
  <c r="H910" i="1"/>
  <c r="K909" i="1"/>
  <c r="J909" i="1"/>
  <c r="J909" i="1" a="1"/>
  <c r="I909" i="1"/>
  <c r="H909" i="1"/>
  <c r="K908" i="1"/>
  <c r="J908" i="1"/>
  <c r="J908" i="1" a="1"/>
  <c r="I908" i="1"/>
  <c r="H908" i="1"/>
  <c r="K907" i="1"/>
  <c r="J907" i="1" a="1"/>
  <c r="J907" i="1" s="1"/>
  <c r="I907" i="1"/>
  <c r="H907" i="1"/>
  <c r="K906" i="1"/>
  <c r="J906" i="1" a="1"/>
  <c r="J906" i="1" s="1"/>
  <c r="I906" i="1"/>
  <c r="H906" i="1"/>
  <c r="K905" i="1"/>
  <c r="J905" i="1"/>
  <c r="J905" i="1" a="1"/>
  <c r="I905" i="1"/>
  <c r="H905" i="1"/>
  <c r="K904" i="1"/>
  <c r="J904" i="1" a="1"/>
  <c r="J904" i="1" s="1"/>
  <c r="I904" i="1"/>
  <c r="H904" i="1"/>
  <c r="K903" i="1"/>
  <c r="J903" i="1" a="1"/>
  <c r="J903" i="1" s="1"/>
  <c r="I903" i="1"/>
  <c r="H903" i="1"/>
  <c r="K902" i="1"/>
  <c r="J902" i="1"/>
  <c r="J902" i="1" a="1"/>
  <c r="I902" i="1"/>
  <c r="H902" i="1"/>
  <c r="K901" i="1"/>
  <c r="J901" i="1"/>
  <c r="J901" i="1" a="1"/>
  <c r="I901" i="1"/>
  <c r="H901" i="1"/>
  <c r="K900" i="1"/>
  <c r="J900" i="1"/>
  <c r="J900" i="1" a="1"/>
  <c r="I900" i="1"/>
  <c r="H900" i="1"/>
  <c r="K899" i="1"/>
  <c r="J899" i="1" a="1"/>
  <c r="J899" i="1" s="1"/>
  <c r="I899" i="1"/>
  <c r="H899" i="1"/>
  <c r="K898" i="1"/>
  <c r="J898" i="1" a="1"/>
  <c r="J898" i="1" s="1"/>
  <c r="I898" i="1"/>
  <c r="H898" i="1"/>
  <c r="K897" i="1"/>
  <c r="J897" i="1"/>
  <c r="J897" i="1" a="1"/>
  <c r="I897" i="1"/>
  <c r="H897" i="1"/>
  <c r="K896" i="1"/>
  <c r="J896" i="1" a="1"/>
  <c r="J896" i="1" s="1"/>
  <c r="I896" i="1"/>
  <c r="H896" i="1"/>
  <c r="K895" i="1"/>
  <c r="J895" i="1" a="1"/>
  <c r="J895" i="1" s="1"/>
  <c r="I895" i="1"/>
  <c r="H895" i="1"/>
  <c r="K894" i="1"/>
  <c r="J894" i="1" a="1"/>
  <c r="J894" i="1" s="1"/>
  <c r="I894" i="1"/>
  <c r="H894" i="1"/>
  <c r="K893" i="1"/>
  <c r="J893" i="1"/>
  <c r="J893" i="1" a="1"/>
  <c r="I893" i="1"/>
  <c r="H893" i="1"/>
  <c r="K892" i="1"/>
  <c r="J892" i="1"/>
  <c r="J892" i="1" a="1"/>
  <c r="I892" i="1"/>
  <c r="H892" i="1"/>
  <c r="K891" i="1"/>
  <c r="J891" i="1" a="1"/>
  <c r="J891" i="1" s="1"/>
  <c r="I891" i="1"/>
  <c r="H891" i="1"/>
  <c r="K890" i="1"/>
  <c r="J890" i="1"/>
  <c r="J890" i="1" a="1"/>
  <c r="I890" i="1"/>
  <c r="H890" i="1"/>
  <c r="K889" i="1"/>
  <c r="J889" i="1"/>
  <c r="J889" i="1" a="1"/>
  <c r="I889" i="1"/>
  <c r="H889" i="1"/>
  <c r="K888" i="1"/>
  <c r="J888" i="1" a="1"/>
  <c r="J888" i="1" s="1"/>
  <c r="I888" i="1"/>
  <c r="H888" i="1"/>
  <c r="K887" i="1"/>
  <c r="J887" i="1" a="1"/>
  <c r="J887" i="1" s="1"/>
  <c r="I887" i="1"/>
  <c r="H887" i="1"/>
  <c r="K886" i="1"/>
  <c r="J886" i="1"/>
  <c r="J886" i="1" a="1"/>
  <c r="I886" i="1"/>
  <c r="H886" i="1"/>
  <c r="K885" i="1"/>
  <c r="J885" i="1"/>
  <c r="J885" i="1" a="1"/>
  <c r="I885" i="1"/>
  <c r="H885" i="1"/>
  <c r="K884" i="1"/>
  <c r="J884" i="1"/>
  <c r="J884" i="1" a="1"/>
  <c r="I884" i="1"/>
  <c r="H884" i="1"/>
  <c r="K883" i="1"/>
  <c r="J883" i="1" a="1"/>
  <c r="J883" i="1" s="1"/>
  <c r="I883" i="1"/>
  <c r="H883" i="1"/>
  <c r="K882" i="1"/>
  <c r="J882" i="1" a="1"/>
  <c r="J882" i="1" s="1"/>
  <c r="I882" i="1"/>
  <c r="H882" i="1"/>
  <c r="K881" i="1"/>
  <c r="J881" i="1"/>
  <c r="J881" i="1" a="1"/>
  <c r="I881" i="1"/>
  <c r="H881" i="1"/>
  <c r="K880" i="1"/>
  <c r="J880" i="1" a="1"/>
  <c r="J880" i="1" s="1"/>
  <c r="I880" i="1"/>
  <c r="H880" i="1"/>
  <c r="K879" i="1"/>
  <c r="J879" i="1" a="1"/>
  <c r="J879" i="1" s="1"/>
  <c r="I879" i="1"/>
  <c r="H879" i="1"/>
  <c r="K878" i="1"/>
  <c r="J878" i="1" a="1"/>
  <c r="J878" i="1" s="1"/>
  <c r="I878" i="1"/>
  <c r="H878" i="1"/>
  <c r="K877" i="1"/>
  <c r="J877" i="1"/>
  <c r="J877" i="1" a="1"/>
  <c r="I877" i="1"/>
  <c r="H877" i="1"/>
  <c r="K876" i="1"/>
  <c r="J876" i="1"/>
  <c r="J876" i="1" a="1"/>
  <c r="I876" i="1"/>
  <c r="H876" i="1"/>
  <c r="K875" i="1"/>
  <c r="J875" i="1" a="1"/>
  <c r="J875" i="1" s="1"/>
  <c r="I875" i="1"/>
  <c r="H875" i="1"/>
  <c r="K874" i="1"/>
  <c r="J874" i="1"/>
  <c r="J874" i="1" a="1"/>
  <c r="I874" i="1"/>
  <c r="H874" i="1"/>
  <c r="K873" i="1"/>
  <c r="J873" i="1"/>
  <c r="J873" i="1" a="1"/>
  <c r="I873" i="1"/>
  <c r="H873" i="1"/>
  <c r="K872" i="1"/>
  <c r="J872" i="1" a="1"/>
  <c r="J872" i="1" s="1"/>
  <c r="I872" i="1"/>
  <c r="H872" i="1"/>
  <c r="K871" i="1"/>
  <c r="J871" i="1" a="1"/>
  <c r="J871" i="1" s="1"/>
  <c r="I871" i="1"/>
  <c r="H871" i="1"/>
  <c r="K870" i="1"/>
  <c r="J870" i="1" a="1"/>
  <c r="J870" i="1" s="1"/>
  <c r="I870" i="1"/>
  <c r="H870" i="1"/>
  <c r="K869" i="1"/>
  <c r="J869" i="1"/>
  <c r="J869" i="1" a="1"/>
  <c r="I869" i="1"/>
  <c r="H869" i="1"/>
  <c r="K868" i="1"/>
  <c r="J868" i="1"/>
  <c r="J868" i="1" a="1"/>
  <c r="I868" i="1"/>
  <c r="H868" i="1"/>
  <c r="K867" i="1"/>
  <c r="J867" i="1" a="1"/>
  <c r="J867" i="1" s="1"/>
  <c r="I867" i="1"/>
  <c r="H867" i="1"/>
  <c r="K866" i="1"/>
  <c r="J866" i="1" a="1"/>
  <c r="J866" i="1" s="1"/>
  <c r="I866" i="1"/>
  <c r="H866" i="1"/>
  <c r="K865" i="1"/>
  <c r="J865" i="1"/>
  <c r="J865" i="1" a="1"/>
  <c r="I865" i="1"/>
  <c r="H865" i="1"/>
  <c r="K864" i="1"/>
  <c r="J864" i="1" a="1"/>
  <c r="J864" i="1" s="1"/>
  <c r="I864" i="1"/>
  <c r="H864" i="1"/>
  <c r="K863" i="1"/>
  <c r="J863" i="1" a="1"/>
  <c r="J863" i="1" s="1"/>
  <c r="I863" i="1"/>
  <c r="H863" i="1"/>
  <c r="K862" i="1"/>
  <c r="J862" i="1" a="1"/>
  <c r="J862" i="1" s="1"/>
  <c r="I862" i="1"/>
  <c r="H862" i="1"/>
  <c r="K861" i="1"/>
  <c r="J861" i="1"/>
  <c r="J861" i="1" a="1"/>
  <c r="I861" i="1"/>
  <c r="H861" i="1"/>
  <c r="K860" i="1"/>
  <c r="J860" i="1"/>
  <c r="J860" i="1" a="1"/>
  <c r="I860" i="1"/>
  <c r="H860" i="1"/>
  <c r="K859" i="1"/>
  <c r="J859" i="1" a="1"/>
  <c r="J859" i="1" s="1"/>
  <c r="I859" i="1"/>
  <c r="H859" i="1"/>
  <c r="K858" i="1"/>
  <c r="J858" i="1" a="1"/>
  <c r="J858" i="1" s="1"/>
  <c r="I858" i="1"/>
  <c r="H858" i="1"/>
  <c r="K857" i="1"/>
  <c r="J857" i="1"/>
  <c r="J857" i="1" a="1"/>
  <c r="I857" i="1"/>
  <c r="H857" i="1"/>
  <c r="K856" i="1"/>
  <c r="J856" i="1" a="1"/>
  <c r="J856" i="1" s="1"/>
  <c r="I856" i="1"/>
  <c r="H856" i="1"/>
  <c r="K855" i="1"/>
  <c r="J855" i="1" a="1"/>
  <c r="J855" i="1" s="1"/>
  <c r="I855" i="1"/>
  <c r="H855" i="1"/>
  <c r="K854" i="1"/>
  <c r="J854" i="1" a="1"/>
  <c r="J854" i="1" s="1"/>
  <c r="I854" i="1"/>
  <c r="H854" i="1"/>
  <c r="K853" i="1"/>
  <c r="J853" i="1"/>
  <c r="J853" i="1" a="1"/>
  <c r="I853" i="1"/>
  <c r="H853" i="1"/>
  <c r="K852" i="1"/>
  <c r="J852" i="1"/>
  <c r="J852" i="1" a="1"/>
  <c r="I852" i="1"/>
  <c r="H852" i="1"/>
  <c r="K851" i="1"/>
  <c r="J851" i="1" a="1"/>
  <c r="J851" i="1" s="1"/>
  <c r="I851" i="1"/>
  <c r="H851" i="1"/>
  <c r="K850" i="1"/>
  <c r="J850" i="1" a="1"/>
  <c r="J850" i="1" s="1"/>
  <c r="I850" i="1"/>
  <c r="H850" i="1"/>
  <c r="K849" i="1"/>
  <c r="J849" i="1"/>
  <c r="J849" i="1" a="1"/>
  <c r="I849" i="1"/>
  <c r="H849" i="1"/>
  <c r="K848" i="1"/>
  <c r="J848" i="1" a="1"/>
  <c r="J848" i="1" s="1"/>
  <c r="I848" i="1"/>
  <c r="H848" i="1"/>
  <c r="K847" i="1"/>
  <c r="J847" i="1" a="1"/>
  <c r="J847" i="1" s="1"/>
  <c r="I847" i="1"/>
  <c r="H847" i="1"/>
  <c r="K846" i="1"/>
  <c r="J846" i="1" a="1"/>
  <c r="J846" i="1" s="1"/>
  <c r="I846" i="1"/>
  <c r="H846" i="1"/>
  <c r="K845" i="1"/>
  <c r="J845" i="1"/>
  <c r="J845" i="1" a="1"/>
  <c r="I845" i="1"/>
  <c r="H845" i="1"/>
  <c r="K844" i="1"/>
  <c r="J844" i="1"/>
  <c r="J844" i="1" a="1"/>
  <c r="I844" i="1"/>
  <c r="H844" i="1"/>
  <c r="K843" i="1"/>
  <c r="J843" i="1" a="1"/>
  <c r="J843" i="1" s="1"/>
  <c r="I843" i="1"/>
  <c r="H843" i="1"/>
  <c r="K842" i="1"/>
  <c r="J842" i="1" a="1"/>
  <c r="J842" i="1" s="1"/>
  <c r="I842" i="1"/>
  <c r="H842" i="1"/>
  <c r="K841" i="1"/>
  <c r="J841" i="1"/>
  <c r="J841" i="1" a="1"/>
  <c r="I841" i="1"/>
  <c r="H841" i="1"/>
  <c r="K840" i="1"/>
  <c r="J840" i="1" a="1"/>
  <c r="J840" i="1" s="1"/>
  <c r="I840" i="1"/>
  <c r="H840" i="1"/>
  <c r="K839" i="1"/>
  <c r="J839" i="1" a="1"/>
  <c r="J839" i="1" s="1"/>
  <c r="I839" i="1"/>
  <c r="H839" i="1"/>
  <c r="K838" i="1"/>
  <c r="J838" i="1"/>
  <c r="J838" i="1" a="1"/>
  <c r="I838" i="1"/>
  <c r="H838" i="1"/>
  <c r="K837" i="1"/>
  <c r="J837" i="1"/>
  <c r="J837" i="1" a="1"/>
  <c r="I837" i="1"/>
  <c r="H837" i="1"/>
  <c r="K836" i="1"/>
  <c r="J836" i="1"/>
  <c r="J836" i="1" a="1"/>
  <c r="I836" i="1"/>
  <c r="H836" i="1"/>
  <c r="K835" i="1"/>
  <c r="J835" i="1" a="1"/>
  <c r="J835" i="1" s="1"/>
  <c r="I835" i="1"/>
  <c r="H835" i="1"/>
  <c r="K834" i="1"/>
  <c r="J834" i="1" a="1"/>
  <c r="J834" i="1" s="1"/>
  <c r="I834" i="1"/>
  <c r="H834" i="1"/>
  <c r="K833" i="1"/>
  <c r="J833" i="1"/>
  <c r="J833" i="1" a="1"/>
  <c r="I833" i="1"/>
  <c r="H833" i="1"/>
  <c r="K832" i="1"/>
  <c r="J832" i="1" a="1"/>
  <c r="J832" i="1" s="1"/>
  <c r="I832" i="1"/>
  <c r="H832" i="1"/>
  <c r="K831" i="1"/>
  <c r="J831" i="1" a="1"/>
  <c r="J831" i="1" s="1"/>
  <c r="I831" i="1"/>
  <c r="H831" i="1"/>
  <c r="K830" i="1"/>
  <c r="J830" i="1" a="1"/>
  <c r="J830" i="1" s="1"/>
  <c r="I830" i="1"/>
  <c r="H830" i="1"/>
  <c r="K829" i="1"/>
  <c r="J829" i="1"/>
  <c r="J829" i="1" a="1"/>
  <c r="I829" i="1"/>
  <c r="H829" i="1"/>
  <c r="K828" i="1"/>
  <c r="J828" i="1"/>
  <c r="J828" i="1" a="1"/>
  <c r="I828" i="1"/>
  <c r="H828" i="1"/>
  <c r="K827" i="1"/>
  <c r="J827" i="1" a="1"/>
  <c r="J827" i="1" s="1"/>
  <c r="I827" i="1"/>
  <c r="H827" i="1"/>
  <c r="K826" i="1"/>
  <c r="J826" i="1"/>
  <c r="J826" i="1" a="1"/>
  <c r="I826" i="1"/>
  <c r="H826" i="1"/>
  <c r="K825" i="1"/>
  <c r="J825" i="1"/>
  <c r="J825" i="1" a="1"/>
  <c r="I825" i="1"/>
  <c r="H825" i="1"/>
  <c r="K824" i="1"/>
  <c r="J824" i="1" a="1"/>
  <c r="J824" i="1" s="1"/>
  <c r="I824" i="1"/>
  <c r="H824" i="1"/>
  <c r="K823" i="1"/>
  <c r="J823" i="1" a="1"/>
  <c r="J823" i="1" s="1"/>
  <c r="I823" i="1"/>
  <c r="H823" i="1"/>
  <c r="K822" i="1"/>
  <c r="J822" i="1"/>
  <c r="J822" i="1" a="1"/>
  <c r="I822" i="1"/>
  <c r="H822" i="1"/>
  <c r="K821" i="1"/>
  <c r="J821" i="1"/>
  <c r="J821" i="1" a="1"/>
  <c r="I821" i="1"/>
  <c r="H821" i="1"/>
  <c r="K820" i="1"/>
  <c r="J820" i="1"/>
  <c r="J820" i="1" a="1"/>
  <c r="I820" i="1"/>
  <c r="H820" i="1"/>
  <c r="K819" i="1"/>
  <c r="J819" i="1" a="1"/>
  <c r="J819" i="1" s="1"/>
  <c r="I819" i="1"/>
  <c r="H819" i="1"/>
  <c r="K818" i="1"/>
  <c r="J818" i="1" a="1"/>
  <c r="J818" i="1" s="1"/>
  <c r="I818" i="1"/>
  <c r="H818" i="1"/>
  <c r="K817" i="1"/>
  <c r="J817" i="1"/>
  <c r="J817" i="1" a="1"/>
  <c r="I817" i="1"/>
  <c r="H817" i="1"/>
  <c r="K816" i="1"/>
  <c r="J816" i="1" a="1"/>
  <c r="J816" i="1" s="1"/>
  <c r="I816" i="1"/>
  <c r="H816" i="1"/>
  <c r="K815" i="1"/>
  <c r="J815" i="1" a="1"/>
  <c r="J815" i="1" s="1"/>
  <c r="I815" i="1"/>
  <c r="H815" i="1"/>
  <c r="K814" i="1"/>
  <c r="J814" i="1" a="1"/>
  <c r="J814" i="1" s="1"/>
  <c r="I814" i="1"/>
  <c r="H814" i="1"/>
  <c r="K813" i="1"/>
  <c r="J813" i="1"/>
  <c r="J813" i="1" a="1"/>
  <c r="I813" i="1"/>
  <c r="H813" i="1"/>
  <c r="K812" i="1"/>
  <c r="J812" i="1"/>
  <c r="J812" i="1" a="1"/>
  <c r="I812" i="1"/>
  <c r="H812" i="1"/>
  <c r="K811" i="1"/>
  <c r="J811" i="1" a="1"/>
  <c r="J811" i="1" s="1"/>
  <c r="I811" i="1"/>
  <c r="H811" i="1"/>
  <c r="K810" i="1"/>
  <c r="J810" i="1"/>
  <c r="J810" i="1" a="1"/>
  <c r="I810" i="1"/>
  <c r="H810" i="1"/>
  <c r="K809" i="1"/>
  <c r="J809" i="1"/>
  <c r="J809" i="1" a="1"/>
  <c r="I809" i="1"/>
  <c r="H809" i="1"/>
  <c r="K808" i="1"/>
  <c r="J808" i="1" a="1"/>
  <c r="J808" i="1" s="1"/>
  <c r="I808" i="1"/>
  <c r="H808" i="1"/>
  <c r="K807" i="1"/>
  <c r="J807" i="1" a="1"/>
  <c r="J807" i="1" s="1"/>
  <c r="I807" i="1"/>
  <c r="H807" i="1"/>
  <c r="K806" i="1"/>
  <c r="J806" i="1" a="1"/>
  <c r="J806" i="1" s="1"/>
  <c r="I806" i="1"/>
  <c r="H806" i="1"/>
  <c r="K805" i="1"/>
  <c r="J805" i="1"/>
  <c r="J805" i="1" a="1"/>
  <c r="I805" i="1"/>
  <c r="H805" i="1"/>
  <c r="K804" i="1"/>
  <c r="J804" i="1"/>
  <c r="J804" i="1" a="1"/>
  <c r="I804" i="1"/>
  <c r="H804" i="1"/>
  <c r="K803" i="1"/>
  <c r="J803" i="1" a="1"/>
  <c r="J803" i="1" s="1"/>
  <c r="I803" i="1"/>
  <c r="H803" i="1"/>
  <c r="K802" i="1"/>
  <c r="J802" i="1" a="1"/>
  <c r="J802" i="1" s="1"/>
  <c r="I802" i="1"/>
  <c r="H802" i="1"/>
  <c r="K801" i="1"/>
  <c r="J801" i="1"/>
  <c r="J801" i="1" a="1"/>
  <c r="I801" i="1"/>
  <c r="H801" i="1"/>
  <c r="K800" i="1"/>
  <c r="J800" i="1" a="1"/>
  <c r="J800" i="1" s="1"/>
  <c r="I800" i="1"/>
  <c r="H800" i="1"/>
  <c r="K799" i="1"/>
  <c r="J799" i="1" a="1"/>
  <c r="J799" i="1" s="1"/>
  <c r="I799" i="1"/>
  <c r="H799" i="1"/>
  <c r="K798" i="1"/>
  <c r="J798" i="1" a="1"/>
  <c r="J798" i="1" s="1"/>
  <c r="I798" i="1"/>
  <c r="H798" i="1"/>
  <c r="K797" i="1"/>
  <c r="J797" i="1"/>
  <c r="J797" i="1" a="1"/>
  <c r="I797" i="1"/>
  <c r="H797" i="1"/>
  <c r="K796" i="1"/>
  <c r="J796" i="1"/>
  <c r="J796" i="1" a="1"/>
  <c r="I796" i="1"/>
  <c r="H796" i="1"/>
  <c r="K795" i="1"/>
  <c r="J795" i="1" a="1"/>
  <c r="J795" i="1" s="1"/>
  <c r="I795" i="1"/>
  <c r="H795" i="1"/>
  <c r="K794" i="1"/>
  <c r="J794" i="1" a="1"/>
  <c r="J794" i="1" s="1"/>
  <c r="I794" i="1"/>
  <c r="H794" i="1"/>
  <c r="K793" i="1"/>
  <c r="J793" i="1"/>
  <c r="J793" i="1" a="1"/>
  <c r="I793" i="1"/>
  <c r="H793" i="1"/>
  <c r="K792" i="1"/>
  <c r="J792" i="1" a="1"/>
  <c r="J792" i="1" s="1"/>
  <c r="I792" i="1"/>
  <c r="H792" i="1"/>
  <c r="K791" i="1"/>
  <c r="J791" i="1" a="1"/>
  <c r="J791" i="1" s="1"/>
  <c r="I791" i="1"/>
  <c r="H791" i="1"/>
  <c r="K790" i="1"/>
  <c r="J790" i="1" a="1"/>
  <c r="J790" i="1" s="1"/>
  <c r="I790" i="1"/>
  <c r="H790" i="1"/>
  <c r="K789" i="1"/>
  <c r="J789" i="1"/>
  <c r="J789" i="1" a="1"/>
  <c r="I789" i="1"/>
  <c r="H789" i="1"/>
  <c r="K788" i="1"/>
  <c r="J788" i="1"/>
  <c r="J788" i="1" a="1"/>
  <c r="I788" i="1"/>
  <c r="H788" i="1"/>
  <c r="K787" i="1"/>
  <c r="J787" i="1" a="1"/>
  <c r="J787" i="1" s="1"/>
  <c r="I787" i="1"/>
  <c r="H787" i="1"/>
  <c r="K786" i="1"/>
  <c r="J786" i="1" a="1"/>
  <c r="J786" i="1" s="1"/>
  <c r="I786" i="1"/>
  <c r="H786" i="1"/>
  <c r="K785" i="1"/>
  <c r="J785" i="1"/>
  <c r="J785" i="1" a="1"/>
  <c r="I785" i="1"/>
  <c r="H785" i="1"/>
  <c r="K784" i="1"/>
  <c r="J784" i="1" a="1"/>
  <c r="J784" i="1" s="1"/>
  <c r="I784" i="1"/>
  <c r="H784" i="1"/>
  <c r="K783" i="1"/>
  <c r="J783" i="1" a="1"/>
  <c r="J783" i="1" s="1"/>
  <c r="I783" i="1"/>
  <c r="H783" i="1"/>
  <c r="K782" i="1"/>
  <c r="J782" i="1" a="1"/>
  <c r="J782" i="1" s="1"/>
  <c r="I782" i="1"/>
  <c r="H782" i="1"/>
  <c r="K781" i="1"/>
  <c r="J781" i="1"/>
  <c r="J781" i="1" a="1"/>
  <c r="I781" i="1"/>
  <c r="H781" i="1"/>
  <c r="K780" i="1"/>
  <c r="J780" i="1"/>
  <c r="J780" i="1" a="1"/>
  <c r="I780" i="1"/>
  <c r="H780" i="1"/>
  <c r="K779" i="1"/>
  <c r="J779" i="1" a="1"/>
  <c r="J779" i="1" s="1"/>
  <c r="I779" i="1"/>
  <c r="H779" i="1"/>
  <c r="K778" i="1"/>
  <c r="J778" i="1" a="1"/>
  <c r="J778" i="1" s="1"/>
  <c r="I778" i="1"/>
  <c r="H778" i="1"/>
  <c r="K777" i="1"/>
  <c r="J777" i="1"/>
  <c r="J777" i="1" a="1"/>
  <c r="I777" i="1"/>
  <c r="H777" i="1"/>
  <c r="K776" i="1"/>
  <c r="J776" i="1" a="1"/>
  <c r="J776" i="1" s="1"/>
  <c r="I776" i="1"/>
  <c r="H776" i="1"/>
  <c r="K775" i="1"/>
  <c r="J775" i="1" a="1"/>
  <c r="J775" i="1" s="1"/>
  <c r="I775" i="1"/>
  <c r="H775" i="1"/>
  <c r="K774" i="1"/>
  <c r="J774" i="1"/>
  <c r="J774" i="1" a="1"/>
  <c r="I774" i="1"/>
  <c r="H774" i="1"/>
  <c r="K773" i="1"/>
  <c r="J773" i="1"/>
  <c r="J773" i="1" a="1"/>
  <c r="I773" i="1"/>
  <c r="H773" i="1"/>
  <c r="K772" i="1"/>
  <c r="J772" i="1"/>
  <c r="J772" i="1" a="1"/>
  <c r="I772" i="1"/>
  <c r="H772" i="1"/>
  <c r="K771" i="1"/>
  <c r="J771" i="1" a="1"/>
  <c r="J771" i="1" s="1"/>
  <c r="I771" i="1"/>
  <c r="H771" i="1"/>
  <c r="K770" i="1"/>
  <c r="J770" i="1" a="1"/>
  <c r="J770" i="1" s="1"/>
  <c r="I770" i="1"/>
  <c r="H770" i="1"/>
  <c r="K769" i="1"/>
  <c r="J769" i="1"/>
  <c r="J769" i="1" a="1"/>
  <c r="I769" i="1"/>
  <c r="H769" i="1"/>
  <c r="K768" i="1"/>
  <c r="J768" i="1" a="1"/>
  <c r="J768" i="1" s="1"/>
  <c r="I768" i="1"/>
  <c r="H768" i="1"/>
  <c r="K767" i="1"/>
  <c r="J767" i="1" a="1"/>
  <c r="J767" i="1" s="1"/>
  <c r="I767" i="1"/>
  <c r="H767" i="1"/>
  <c r="K766" i="1"/>
  <c r="J766" i="1" a="1"/>
  <c r="J766" i="1" s="1"/>
  <c r="I766" i="1"/>
  <c r="H766" i="1"/>
  <c r="K765" i="1"/>
  <c r="J765" i="1"/>
  <c r="J765" i="1" a="1"/>
  <c r="I765" i="1"/>
  <c r="H765" i="1"/>
  <c r="K764" i="1"/>
  <c r="J764" i="1"/>
  <c r="J764" i="1" a="1"/>
  <c r="I764" i="1"/>
  <c r="H764" i="1"/>
  <c r="K763" i="1"/>
  <c r="J763" i="1" a="1"/>
  <c r="J763" i="1" s="1"/>
  <c r="I763" i="1"/>
  <c r="H763" i="1"/>
  <c r="K762" i="1"/>
  <c r="J762" i="1"/>
  <c r="J762" i="1" a="1"/>
  <c r="I762" i="1"/>
  <c r="H762" i="1"/>
  <c r="K761" i="1"/>
  <c r="J761" i="1"/>
  <c r="J761" i="1" a="1"/>
  <c r="I761" i="1"/>
  <c r="H761" i="1"/>
  <c r="K760" i="1"/>
  <c r="J760" i="1" a="1"/>
  <c r="J760" i="1" s="1"/>
  <c r="I760" i="1"/>
  <c r="H760" i="1"/>
  <c r="K759" i="1"/>
  <c r="J759" i="1" a="1"/>
  <c r="J759" i="1" s="1"/>
  <c r="I759" i="1"/>
  <c r="H759" i="1"/>
  <c r="K758" i="1"/>
  <c r="J758" i="1"/>
  <c r="J758" i="1" a="1"/>
  <c r="I758" i="1"/>
  <c r="H758" i="1"/>
  <c r="K757" i="1"/>
  <c r="J757" i="1"/>
  <c r="J757" i="1" a="1"/>
  <c r="I757" i="1"/>
  <c r="H757" i="1"/>
  <c r="K756" i="1"/>
  <c r="J756" i="1"/>
  <c r="J756" i="1" a="1"/>
  <c r="I756" i="1"/>
  <c r="H756" i="1"/>
  <c r="K755" i="1"/>
  <c r="J755" i="1" a="1"/>
  <c r="J755" i="1" s="1"/>
  <c r="I755" i="1"/>
  <c r="H755" i="1"/>
  <c r="K754" i="1"/>
  <c r="J754" i="1" a="1"/>
  <c r="J754" i="1" s="1"/>
  <c r="I754" i="1"/>
  <c r="H754" i="1"/>
  <c r="K753" i="1"/>
  <c r="J753" i="1"/>
  <c r="J753" i="1" a="1"/>
  <c r="I753" i="1"/>
  <c r="H753" i="1"/>
  <c r="K752" i="1"/>
  <c r="J752" i="1" a="1"/>
  <c r="J752" i="1" s="1"/>
  <c r="I752" i="1"/>
  <c r="H752" i="1"/>
  <c r="K751" i="1"/>
  <c r="J751" i="1" a="1"/>
  <c r="J751" i="1" s="1"/>
  <c r="I751" i="1"/>
  <c r="H751" i="1"/>
  <c r="K750" i="1"/>
  <c r="J750" i="1"/>
  <c r="J750" i="1" a="1"/>
  <c r="I750" i="1"/>
  <c r="H750" i="1"/>
  <c r="K749" i="1"/>
  <c r="J749" i="1"/>
  <c r="J749" i="1" a="1"/>
  <c r="I749" i="1"/>
  <c r="H749" i="1"/>
  <c r="K748" i="1"/>
  <c r="J748" i="1"/>
  <c r="J748" i="1" a="1"/>
  <c r="I748" i="1"/>
  <c r="H748" i="1"/>
  <c r="K747" i="1"/>
  <c r="J747" i="1" a="1"/>
  <c r="J747" i="1" s="1"/>
  <c r="I747" i="1"/>
  <c r="H747" i="1"/>
  <c r="K746" i="1"/>
  <c r="J746" i="1"/>
  <c r="J746" i="1" a="1"/>
  <c r="I746" i="1"/>
  <c r="H746" i="1"/>
  <c r="K745" i="1"/>
  <c r="J745" i="1"/>
  <c r="J745" i="1" a="1"/>
  <c r="I745" i="1"/>
  <c r="H745" i="1"/>
  <c r="K744" i="1"/>
  <c r="J744" i="1" a="1"/>
  <c r="J744" i="1" s="1"/>
  <c r="I744" i="1"/>
  <c r="H744" i="1"/>
  <c r="K743" i="1"/>
  <c r="J743" i="1" a="1"/>
  <c r="J743" i="1" s="1"/>
  <c r="I743" i="1"/>
  <c r="H743" i="1"/>
  <c r="K742" i="1"/>
  <c r="J742" i="1" a="1"/>
  <c r="J742" i="1" s="1"/>
  <c r="I742" i="1"/>
  <c r="H742" i="1"/>
  <c r="K741" i="1"/>
  <c r="J741" i="1"/>
  <c r="J741" i="1" a="1"/>
  <c r="I741" i="1"/>
  <c r="H741" i="1"/>
  <c r="K740" i="1"/>
  <c r="J740" i="1"/>
  <c r="J740" i="1" a="1"/>
  <c r="I740" i="1"/>
  <c r="H740" i="1"/>
  <c r="K739" i="1"/>
  <c r="J739" i="1" a="1"/>
  <c r="J739" i="1" s="1"/>
  <c r="I739" i="1"/>
  <c r="H739" i="1"/>
  <c r="K738" i="1"/>
  <c r="J738" i="1" a="1"/>
  <c r="J738" i="1" s="1"/>
  <c r="I738" i="1"/>
  <c r="H738" i="1"/>
  <c r="K737" i="1"/>
  <c r="J737" i="1"/>
  <c r="J737" i="1" a="1"/>
  <c r="I737" i="1"/>
  <c r="H737" i="1"/>
  <c r="K736" i="1"/>
  <c r="J736" i="1" a="1"/>
  <c r="J736" i="1" s="1"/>
  <c r="I736" i="1"/>
  <c r="H736" i="1"/>
  <c r="K735" i="1"/>
  <c r="J735" i="1" a="1"/>
  <c r="J735" i="1" s="1"/>
  <c r="I735" i="1"/>
  <c r="H735" i="1"/>
  <c r="K734" i="1"/>
  <c r="J734" i="1" a="1"/>
  <c r="J734" i="1" s="1"/>
  <c r="I734" i="1"/>
  <c r="H734" i="1"/>
  <c r="K733" i="1"/>
  <c r="J733" i="1"/>
  <c r="J733" i="1" a="1"/>
  <c r="I733" i="1"/>
  <c r="H733" i="1"/>
  <c r="K732" i="1"/>
  <c r="J732" i="1"/>
  <c r="J732" i="1" a="1"/>
  <c r="I732" i="1"/>
  <c r="H732" i="1"/>
  <c r="K731" i="1"/>
  <c r="J731" i="1" a="1"/>
  <c r="J731" i="1" s="1"/>
  <c r="I731" i="1"/>
  <c r="H731" i="1"/>
  <c r="K730" i="1"/>
  <c r="J730" i="1" a="1"/>
  <c r="J730" i="1" s="1"/>
  <c r="I730" i="1"/>
  <c r="H730" i="1"/>
  <c r="K729" i="1"/>
  <c r="J729" i="1"/>
  <c r="J729" i="1" a="1"/>
  <c r="I729" i="1"/>
  <c r="H729" i="1"/>
  <c r="K728" i="1"/>
  <c r="J728" i="1" a="1"/>
  <c r="J728" i="1" s="1"/>
  <c r="I728" i="1"/>
  <c r="H728" i="1"/>
  <c r="K727" i="1"/>
  <c r="J727" i="1" a="1"/>
  <c r="J727" i="1" s="1"/>
  <c r="I727" i="1"/>
  <c r="H727" i="1"/>
  <c r="K726" i="1"/>
  <c r="J726" i="1" a="1"/>
  <c r="J726" i="1" s="1"/>
  <c r="I726" i="1"/>
  <c r="H726" i="1"/>
  <c r="K725" i="1"/>
  <c r="J725" i="1"/>
  <c r="J725" i="1" a="1"/>
  <c r="I725" i="1"/>
  <c r="H725" i="1"/>
  <c r="K724" i="1"/>
  <c r="J724" i="1"/>
  <c r="J724" i="1" a="1"/>
  <c r="I724" i="1"/>
  <c r="H724" i="1"/>
  <c r="K723" i="1"/>
  <c r="J723" i="1" a="1"/>
  <c r="J723" i="1" s="1"/>
  <c r="I723" i="1"/>
  <c r="H723" i="1"/>
  <c r="K722" i="1"/>
  <c r="J722" i="1" a="1"/>
  <c r="J722" i="1" s="1"/>
  <c r="I722" i="1"/>
  <c r="H722" i="1"/>
  <c r="K721" i="1"/>
  <c r="J721" i="1"/>
  <c r="J721" i="1" a="1"/>
  <c r="I721" i="1"/>
  <c r="H721" i="1"/>
  <c r="K720" i="1"/>
  <c r="J720" i="1" a="1"/>
  <c r="J720" i="1" s="1"/>
  <c r="I720" i="1"/>
  <c r="H720" i="1"/>
  <c r="K719" i="1"/>
  <c r="J719" i="1" a="1"/>
  <c r="J719" i="1" s="1"/>
  <c r="I719" i="1"/>
  <c r="H719" i="1"/>
  <c r="K718" i="1"/>
  <c r="J718" i="1" a="1"/>
  <c r="J718" i="1" s="1"/>
  <c r="I718" i="1"/>
  <c r="H718" i="1"/>
  <c r="K717" i="1"/>
  <c r="J717" i="1"/>
  <c r="J717" i="1" a="1"/>
  <c r="I717" i="1"/>
  <c r="H717" i="1"/>
  <c r="K716" i="1"/>
  <c r="J716" i="1"/>
  <c r="J716" i="1" a="1"/>
  <c r="I716" i="1"/>
  <c r="H716" i="1"/>
  <c r="K715" i="1"/>
  <c r="J715" i="1" a="1"/>
  <c r="J715" i="1" s="1"/>
  <c r="I715" i="1"/>
  <c r="H715" i="1"/>
  <c r="K714" i="1"/>
  <c r="J714" i="1" a="1"/>
  <c r="J714" i="1" s="1"/>
  <c r="I714" i="1"/>
  <c r="H714" i="1"/>
  <c r="K713" i="1"/>
  <c r="J713" i="1"/>
  <c r="J713" i="1" a="1"/>
  <c r="I713" i="1"/>
  <c r="H713" i="1"/>
  <c r="K712" i="1"/>
  <c r="J712" i="1" a="1"/>
  <c r="J712" i="1" s="1"/>
  <c r="I712" i="1"/>
  <c r="H712" i="1"/>
  <c r="K711" i="1"/>
  <c r="J711" i="1" a="1"/>
  <c r="J711" i="1" s="1"/>
  <c r="I711" i="1"/>
  <c r="H711" i="1"/>
  <c r="K710" i="1"/>
  <c r="J710" i="1"/>
  <c r="J710" i="1" a="1"/>
  <c r="I710" i="1"/>
  <c r="H710" i="1"/>
  <c r="K709" i="1"/>
  <c r="J709" i="1"/>
  <c r="J709" i="1" a="1"/>
  <c r="I709" i="1"/>
  <c r="H709" i="1"/>
  <c r="K708" i="1"/>
  <c r="J708" i="1"/>
  <c r="J708" i="1" a="1"/>
  <c r="I708" i="1"/>
  <c r="H708" i="1"/>
  <c r="K707" i="1"/>
  <c r="J707" i="1" a="1"/>
  <c r="J707" i="1" s="1"/>
  <c r="I707" i="1"/>
  <c r="H707" i="1"/>
  <c r="K706" i="1"/>
  <c r="J706" i="1" a="1"/>
  <c r="J706" i="1" s="1"/>
  <c r="I706" i="1"/>
  <c r="H706" i="1"/>
  <c r="K705" i="1"/>
  <c r="J705" i="1"/>
  <c r="J705" i="1" a="1"/>
  <c r="I705" i="1"/>
  <c r="H705" i="1"/>
  <c r="K704" i="1"/>
  <c r="J704" i="1" a="1"/>
  <c r="J704" i="1" s="1"/>
  <c r="I704" i="1"/>
  <c r="H704" i="1"/>
  <c r="K703" i="1"/>
  <c r="J703" i="1" a="1"/>
  <c r="J703" i="1" s="1"/>
  <c r="I703" i="1"/>
  <c r="H703" i="1"/>
  <c r="K702" i="1"/>
  <c r="J702" i="1" a="1"/>
  <c r="J702" i="1" s="1"/>
  <c r="I702" i="1"/>
  <c r="H702" i="1"/>
  <c r="K701" i="1"/>
  <c r="J701" i="1"/>
  <c r="J701" i="1" a="1"/>
  <c r="I701" i="1"/>
  <c r="H701" i="1"/>
  <c r="K700" i="1"/>
  <c r="J700" i="1"/>
  <c r="J700" i="1" a="1"/>
  <c r="I700" i="1"/>
  <c r="H700" i="1"/>
  <c r="K699" i="1"/>
  <c r="J699" i="1" a="1"/>
  <c r="J699" i="1" s="1"/>
  <c r="I699" i="1"/>
  <c r="H699" i="1"/>
  <c r="K698" i="1"/>
  <c r="J698" i="1"/>
  <c r="J698" i="1" a="1"/>
  <c r="I698" i="1"/>
  <c r="H698" i="1"/>
  <c r="K697" i="1"/>
  <c r="J697" i="1"/>
  <c r="J697" i="1" a="1"/>
  <c r="I697" i="1"/>
  <c r="H697" i="1"/>
  <c r="K696" i="1"/>
  <c r="J696" i="1" a="1"/>
  <c r="J696" i="1" s="1"/>
  <c r="I696" i="1"/>
  <c r="H696" i="1"/>
  <c r="K695" i="1"/>
  <c r="J695" i="1" a="1"/>
  <c r="J695" i="1" s="1"/>
  <c r="I695" i="1"/>
  <c r="H695" i="1"/>
  <c r="K694" i="1"/>
  <c r="J694" i="1"/>
  <c r="J694" i="1" a="1"/>
  <c r="I694" i="1"/>
  <c r="H694" i="1"/>
  <c r="K693" i="1"/>
  <c r="J693" i="1"/>
  <c r="J693" i="1" a="1"/>
  <c r="I693" i="1"/>
  <c r="H693" i="1"/>
  <c r="K692" i="1"/>
  <c r="J692" i="1"/>
  <c r="J692" i="1" a="1"/>
  <c r="I692" i="1"/>
  <c r="H692" i="1"/>
  <c r="K691" i="1"/>
  <c r="J691" i="1" a="1"/>
  <c r="J691" i="1" s="1"/>
  <c r="I691" i="1"/>
  <c r="H691" i="1"/>
  <c r="K690" i="1"/>
  <c r="J690" i="1" a="1"/>
  <c r="J690" i="1" s="1"/>
  <c r="I690" i="1"/>
  <c r="H690" i="1"/>
  <c r="K689" i="1"/>
  <c r="J689" i="1"/>
  <c r="J689" i="1" a="1"/>
  <c r="I689" i="1"/>
  <c r="H689" i="1"/>
  <c r="K688" i="1"/>
  <c r="J688" i="1" a="1"/>
  <c r="J688" i="1" s="1"/>
  <c r="I688" i="1"/>
  <c r="H688" i="1"/>
  <c r="K687" i="1"/>
  <c r="J687" i="1" a="1"/>
  <c r="J687" i="1" s="1"/>
  <c r="I687" i="1"/>
  <c r="H687" i="1"/>
  <c r="K686" i="1"/>
  <c r="J686" i="1" a="1"/>
  <c r="J686" i="1" s="1"/>
  <c r="I686" i="1"/>
  <c r="H686" i="1"/>
  <c r="K685" i="1"/>
  <c r="J685" i="1"/>
  <c r="J685" i="1" a="1"/>
  <c r="I685" i="1"/>
  <c r="H685" i="1"/>
  <c r="K684" i="1"/>
  <c r="J684" i="1"/>
  <c r="J684" i="1" a="1"/>
  <c r="I684" i="1"/>
  <c r="H684" i="1"/>
  <c r="K683" i="1"/>
  <c r="J683" i="1" a="1"/>
  <c r="J683" i="1" s="1"/>
  <c r="I683" i="1"/>
  <c r="H683" i="1"/>
  <c r="K682" i="1"/>
  <c r="J682" i="1"/>
  <c r="J682" i="1" a="1"/>
  <c r="I682" i="1"/>
  <c r="H682" i="1"/>
  <c r="K681" i="1"/>
  <c r="J681" i="1"/>
  <c r="J681" i="1" a="1"/>
  <c r="I681" i="1"/>
  <c r="H681" i="1"/>
  <c r="K680" i="1"/>
  <c r="J680" i="1" a="1"/>
  <c r="J680" i="1" s="1"/>
  <c r="I680" i="1"/>
  <c r="H680" i="1"/>
  <c r="K679" i="1"/>
  <c r="J679" i="1" a="1"/>
  <c r="J679" i="1" s="1"/>
  <c r="I679" i="1"/>
  <c r="H679" i="1"/>
  <c r="K678" i="1"/>
  <c r="J678" i="1" a="1"/>
  <c r="J678" i="1" s="1"/>
  <c r="I678" i="1"/>
  <c r="H678" i="1"/>
  <c r="K677" i="1"/>
  <c r="J677" i="1"/>
  <c r="J677" i="1" a="1"/>
  <c r="I677" i="1"/>
  <c r="H677" i="1"/>
  <c r="K676" i="1"/>
  <c r="J676" i="1"/>
  <c r="J676" i="1" a="1"/>
  <c r="I676" i="1"/>
  <c r="H676" i="1"/>
  <c r="K675" i="1"/>
  <c r="J675" i="1" a="1"/>
  <c r="J675" i="1" s="1"/>
  <c r="I675" i="1"/>
  <c r="H675" i="1"/>
  <c r="K674" i="1"/>
  <c r="J674" i="1" a="1"/>
  <c r="J674" i="1" s="1"/>
  <c r="I674" i="1"/>
  <c r="H674" i="1"/>
  <c r="K673" i="1"/>
  <c r="J673" i="1"/>
  <c r="J673" i="1" a="1"/>
  <c r="I673" i="1"/>
  <c r="H673" i="1"/>
  <c r="K672" i="1"/>
  <c r="J672" i="1" a="1"/>
  <c r="J672" i="1" s="1"/>
  <c r="I672" i="1"/>
  <c r="H672" i="1"/>
  <c r="K671" i="1"/>
  <c r="J671" i="1" a="1"/>
  <c r="J671" i="1" s="1"/>
  <c r="I671" i="1"/>
  <c r="H671" i="1"/>
  <c r="K670" i="1"/>
  <c r="J670" i="1" a="1"/>
  <c r="J670" i="1" s="1"/>
  <c r="I670" i="1"/>
  <c r="H670" i="1"/>
  <c r="K669" i="1"/>
  <c r="J669" i="1"/>
  <c r="J669" i="1" a="1"/>
  <c r="I669" i="1"/>
  <c r="H669" i="1"/>
  <c r="K668" i="1"/>
  <c r="J668" i="1"/>
  <c r="J668" i="1" a="1"/>
  <c r="I668" i="1"/>
  <c r="H668" i="1"/>
  <c r="K667" i="1"/>
  <c r="J667" i="1" a="1"/>
  <c r="J667" i="1" s="1"/>
  <c r="I667" i="1"/>
  <c r="H667" i="1"/>
  <c r="K666" i="1"/>
  <c r="J666" i="1" a="1"/>
  <c r="J666" i="1" s="1"/>
  <c r="I666" i="1"/>
  <c r="H666" i="1"/>
  <c r="K665" i="1"/>
  <c r="J665" i="1"/>
  <c r="J665" i="1" a="1"/>
  <c r="I665" i="1"/>
  <c r="H665" i="1"/>
  <c r="K664" i="1"/>
  <c r="J664" i="1" a="1"/>
  <c r="J664" i="1" s="1"/>
  <c r="I664" i="1"/>
  <c r="H664" i="1"/>
  <c r="K663" i="1"/>
  <c r="J663" i="1" a="1"/>
  <c r="J663" i="1" s="1"/>
  <c r="I663" i="1"/>
  <c r="H663" i="1"/>
  <c r="K662" i="1"/>
  <c r="J662" i="1" a="1"/>
  <c r="J662" i="1" s="1"/>
  <c r="I662" i="1"/>
  <c r="H662" i="1"/>
  <c r="K661" i="1"/>
  <c r="J661" i="1"/>
  <c r="J661" i="1" a="1"/>
  <c r="I661" i="1"/>
  <c r="H661" i="1"/>
  <c r="K660" i="1"/>
  <c r="J660" i="1"/>
  <c r="J660" i="1" a="1"/>
  <c r="I660" i="1"/>
  <c r="H660" i="1"/>
  <c r="K659" i="1"/>
  <c r="J659" i="1" a="1"/>
  <c r="J659" i="1" s="1"/>
  <c r="I659" i="1"/>
  <c r="H659" i="1"/>
  <c r="K658" i="1"/>
  <c r="J658" i="1" a="1"/>
  <c r="J658" i="1" s="1"/>
  <c r="I658" i="1"/>
  <c r="H658" i="1"/>
  <c r="K657" i="1"/>
  <c r="J657" i="1"/>
  <c r="J657" i="1" a="1"/>
  <c r="I657" i="1"/>
  <c r="H657" i="1"/>
  <c r="K656" i="1"/>
  <c r="J656" i="1" a="1"/>
  <c r="J656" i="1" s="1"/>
  <c r="I656" i="1"/>
  <c r="H656" i="1"/>
  <c r="K655" i="1"/>
  <c r="J655" i="1" a="1"/>
  <c r="J655" i="1" s="1"/>
  <c r="I655" i="1"/>
  <c r="H655" i="1"/>
  <c r="K654" i="1"/>
  <c r="J654" i="1" a="1"/>
  <c r="J654" i="1" s="1"/>
  <c r="I654" i="1"/>
  <c r="H654" i="1"/>
  <c r="K653" i="1"/>
  <c r="J653" i="1"/>
  <c r="J653" i="1" a="1"/>
  <c r="I653" i="1"/>
  <c r="H653" i="1"/>
  <c r="K652" i="1"/>
  <c r="J652" i="1"/>
  <c r="J652" i="1" a="1"/>
  <c r="I652" i="1"/>
  <c r="H652" i="1"/>
  <c r="K651" i="1"/>
  <c r="J651" i="1" a="1"/>
  <c r="J651" i="1" s="1"/>
  <c r="I651" i="1"/>
  <c r="H651" i="1"/>
  <c r="K650" i="1"/>
  <c r="J650" i="1" a="1"/>
  <c r="J650" i="1" s="1"/>
  <c r="I650" i="1"/>
  <c r="H650" i="1"/>
  <c r="K649" i="1"/>
  <c r="J649" i="1"/>
  <c r="J649" i="1" a="1"/>
  <c r="I649" i="1"/>
  <c r="H649" i="1"/>
  <c r="K648" i="1"/>
  <c r="J648" i="1" a="1"/>
  <c r="J648" i="1" s="1"/>
  <c r="I648" i="1"/>
  <c r="H648" i="1"/>
  <c r="K647" i="1"/>
  <c r="J647" i="1" a="1"/>
  <c r="J647" i="1" s="1"/>
  <c r="I647" i="1"/>
  <c r="H647" i="1"/>
  <c r="K646" i="1"/>
  <c r="J646" i="1"/>
  <c r="J646" i="1" a="1"/>
  <c r="I646" i="1"/>
  <c r="H646" i="1"/>
  <c r="K645" i="1"/>
  <c r="J645" i="1"/>
  <c r="J645" i="1" a="1"/>
  <c r="I645" i="1"/>
  <c r="H645" i="1"/>
  <c r="K644" i="1"/>
  <c r="J644" i="1"/>
  <c r="J644" i="1" a="1"/>
  <c r="I644" i="1"/>
  <c r="H644" i="1"/>
  <c r="K643" i="1"/>
  <c r="J643" i="1" a="1"/>
  <c r="J643" i="1" s="1"/>
  <c r="I643" i="1"/>
  <c r="H643" i="1"/>
  <c r="K642" i="1"/>
  <c r="J642" i="1" a="1"/>
  <c r="J642" i="1" s="1"/>
  <c r="I642" i="1"/>
  <c r="H642" i="1"/>
  <c r="K641" i="1"/>
  <c r="J641" i="1"/>
  <c r="J641" i="1" a="1"/>
  <c r="I641" i="1"/>
  <c r="H641" i="1"/>
  <c r="K640" i="1"/>
  <c r="J640" i="1" a="1"/>
  <c r="J640" i="1" s="1"/>
  <c r="I640" i="1"/>
  <c r="H640" i="1"/>
  <c r="K639" i="1"/>
  <c r="J639" i="1" a="1"/>
  <c r="J639" i="1" s="1"/>
  <c r="I639" i="1"/>
  <c r="H639" i="1"/>
  <c r="K638" i="1"/>
  <c r="J638" i="1" a="1"/>
  <c r="J638" i="1" s="1"/>
  <c r="I638" i="1"/>
  <c r="H638" i="1"/>
  <c r="K637" i="1"/>
  <c r="J637" i="1"/>
  <c r="J637" i="1" a="1"/>
  <c r="I637" i="1"/>
  <c r="H637" i="1"/>
  <c r="K636" i="1"/>
  <c r="J636" i="1"/>
  <c r="J636" i="1" a="1"/>
  <c r="I636" i="1"/>
  <c r="H636" i="1"/>
  <c r="K635" i="1"/>
  <c r="J635" i="1" a="1"/>
  <c r="J635" i="1" s="1"/>
  <c r="I635" i="1"/>
  <c r="H635" i="1"/>
  <c r="K634" i="1"/>
  <c r="J634" i="1"/>
  <c r="J634" i="1" a="1"/>
  <c r="I634" i="1"/>
  <c r="H634" i="1"/>
  <c r="K633" i="1"/>
  <c r="J633" i="1"/>
  <c r="J633" i="1" a="1"/>
  <c r="I633" i="1"/>
  <c r="H633" i="1"/>
  <c r="K632" i="1"/>
  <c r="J632" i="1" a="1"/>
  <c r="J632" i="1" s="1"/>
  <c r="I632" i="1"/>
  <c r="H632" i="1"/>
  <c r="K631" i="1"/>
  <c r="J631" i="1" a="1"/>
  <c r="J631" i="1" s="1"/>
  <c r="I631" i="1"/>
  <c r="H631" i="1"/>
  <c r="K630" i="1"/>
  <c r="J630" i="1"/>
  <c r="J630" i="1" a="1"/>
  <c r="I630" i="1"/>
  <c r="H630" i="1"/>
  <c r="K629" i="1"/>
  <c r="J629" i="1"/>
  <c r="J629" i="1" a="1"/>
  <c r="I629" i="1"/>
  <c r="H629" i="1"/>
  <c r="K628" i="1"/>
  <c r="J628" i="1"/>
  <c r="J628" i="1" a="1"/>
  <c r="I628" i="1"/>
  <c r="H628" i="1"/>
  <c r="K627" i="1"/>
  <c r="J627" i="1" a="1"/>
  <c r="J627" i="1" s="1"/>
  <c r="I627" i="1"/>
  <c r="H627" i="1"/>
  <c r="K626" i="1"/>
  <c r="J626" i="1" a="1"/>
  <c r="J626" i="1" s="1"/>
  <c r="I626" i="1"/>
  <c r="H626" i="1"/>
  <c r="K625" i="1"/>
  <c r="J625" i="1"/>
  <c r="J625" i="1" a="1"/>
  <c r="I625" i="1"/>
  <c r="H625" i="1"/>
  <c r="K624" i="1"/>
  <c r="J624" i="1" a="1"/>
  <c r="J624" i="1" s="1"/>
  <c r="I624" i="1"/>
  <c r="H624" i="1"/>
  <c r="K623" i="1"/>
  <c r="J623" i="1" a="1"/>
  <c r="J623" i="1" s="1"/>
  <c r="I623" i="1"/>
  <c r="H623" i="1"/>
  <c r="K622" i="1"/>
  <c r="J622" i="1" a="1"/>
  <c r="J622" i="1" s="1"/>
  <c r="I622" i="1"/>
  <c r="H622" i="1"/>
  <c r="K621" i="1"/>
  <c r="J621" i="1"/>
  <c r="J621" i="1" a="1"/>
  <c r="I621" i="1"/>
  <c r="H621" i="1"/>
  <c r="K620" i="1"/>
  <c r="J620" i="1"/>
  <c r="J620" i="1" a="1"/>
  <c r="I620" i="1"/>
  <c r="H620" i="1"/>
  <c r="K619" i="1"/>
  <c r="J619" i="1" a="1"/>
  <c r="J619" i="1" s="1"/>
  <c r="I619" i="1"/>
  <c r="H619" i="1"/>
  <c r="K618" i="1"/>
  <c r="J618" i="1" a="1"/>
  <c r="J618" i="1" s="1"/>
  <c r="I618" i="1"/>
  <c r="H618" i="1"/>
  <c r="K617" i="1"/>
  <c r="J617" i="1"/>
  <c r="J617" i="1" a="1"/>
  <c r="I617" i="1"/>
  <c r="H617" i="1"/>
  <c r="K616" i="1"/>
  <c r="J616" i="1" a="1"/>
  <c r="J616" i="1" s="1"/>
  <c r="I616" i="1"/>
  <c r="H616" i="1"/>
  <c r="K615" i="1"/>
  <c r="J615" i="1" a="1"/>
  <c r="J615" i="1" s="1"/>
  <c r="I615" i="1"/>
  <c r="H615" i="1"/>
  <c r="K614" i="1"/>
  <c r="J614" i="1" a="1"/>
  <c r="J614" i="1" s="1"/>
  <c r="I614" i="1"/>
  <c r="H614" i="1"/>
  <c r="K613" i="1"/>
  <c r="J613" i="1"/>
  <c r="J613" i="1" a="1"/>
  <c r="I613" i="1"/>
  <c r="H613" i="1"/>
  <c r="K612" i="1"/>
  <c r="J612" i="1"/>
  <c r="J612" i="1" a="1"/>
  <c r="I612" i="1"/>
  <c r="H612" i="1"/>
  <c r="K611" i="1"/>
  <c r="J611" i="1" a="1"/>
  <c r="J611" i="1" s="1"/>
  <c r="I611" i="1"/>
  <c r="H611" i="1"/>
  <c r="K610" i="1"/>
  <c r="J610" i="1"/>
  <c r="J610" i="1" a="1"/>
  <c r="I610" i="1"/>
  <c r="H610" i="1"/>
  <c r="K609" i="1"/>
  <c r="J609" i="1"/>
  <c r="J609" i="1" a="1"/>
  <c r="I609" i="1"/>
  <c r="H609" i="1"/>
  <c r="K608" i="1"/>
  <c r="J608" i="1" a="1"/>
  <c r="J608" i="1" s="1"/>
  <c r="I608" i="1"/>
  <c r="H608" i="1"/>
  <c r="K607" i="1"/>
  <c r="J607" i="1" a="1"/>
  <c r="J607" i="1" s="1"/>
  <c r="I607" i="1"/>
  <c r="H607" i="1"/>
  <c r="K606" i="1"/>
  <c r="J606" i="1" a="1"/>
  <c r="J606" i="1" s="1"/>
  <c r="I606" i="1"/>
  <c r="H606" i="1"/>
  <c r="K605" i="1"/>
  <c r="J605" i="1"/>
  <c r="J605" i="1" a="1"/>
  <c r="I605" i="1"/>
  <c r="H605" i="1"/>
  <c r="K604" i="1"/>
  <c r="J604" i="1"/>
  <c r="J604" i="1" a="1"/>
  <c r="I604" i="1"/>
  <c r="H604" i="1"/>
  <c r="K603" i="1"/>
  <c r="J603" i="1" a="1"/>
  <c r="J603" i="1" s="1"/>
  <c r="I603" i="1"/>
  <c r="H603" i="1"/>
  <c r="K602" i="1"/>
  <c r="J602" i="1" a="1"/>
  <c r="J602" i="1" s="1"/>
  <c r="I602" i="1"/>
  <c r="H602" i="1"/>
  <c r="K601" i="1"/>
  <c r="J601" i="1"/>
  <c r="J601" i="1" a="1"/>
  <c r="I601" i="1"/>
  <c r="H601" i="1"/>
  <c r="K600" i="1"/>
  <c r="J600" i="1" a="1"/>
  <c r="J600" i="1" s="1"/>
  <c r="I600" i="1"/>
  <c r="H600" i="1"/>
  <c r="K599" i="1"/>
  <c r="J599" i="1" a="1"/>
  <c r="J599" i="1" s="1"/>
  <c r="I599" i="1"/>
  <c r="H599" i="1"/>
  <c r="K598" i="1"/>
  <c r="J598" i="1" a="1"/>
  <c r="J598" i="1" s="1"/>
  <c r="I598" i="1"/>
  <c r="H598" i="1"/>
  <c r="K597" i="1"/>
  <c r="J597" i="1"/>
  <c r="J597" i="1" a="1"/>
  <c r="I597" i="1"/>
  <c r="H597" i="1"/>
  <c r="K596" i="1"/>
  <c r="J596" i="1"/>
  <c r="J596" i="1" a="1"/>
  <c r="I596" i="1"/>
  <c r="H596" i="1"/>
  <c r="K595" i="1"/>
  <c r="J595" i="1" a="1"/>
  <c r="J595" i="1" s="1"/>
  <c r="I595" i="1"/>
  <c r="H595" i="1"/>
  <c r="K594" i="1"/>
  <c r="J594" i="1" a="1"/>
  <c r="J594" i="1" s="1"/>
  <c r="I594" i="1"/>
  <c r="H594" i="1"/>
  <c r="K593" i="1"/>
  <c r="J593" i="1"/>
  <c r="J593" i="1" a="1"/>
  <c r="I593" i="1"/>
  <c r="H593" i="1"/>
  <c r="K592" i="1"/>
  <c r="J592" i="1" a="1"/>
  <c r="J592" i="1" s="1"/>
  <c r="I592" i="1"/>
  <c r="H592" i="1"/>
  <c r="K591" i="1"/>
  <c r="J591" i="1" a="1"/>
  <c r="J591" i="1" s="1"/>
  <c r="I591" i="1"/>
  <c r="H591" i="1"/>
  <c r="K590" i="1"/>
  <c r="J590" i="1" a="1"/>
  <c r="J590" i="1" s="1"/>
  <c r="I590" i="1"/>
  <c r="H590" i="1"/>
  <c r="K589" i="1"/>
  <c r="J589" i="1"/>
  <c r="J589" i="1" a="1"/>
  <c r="I589" i="1"/>
  <c r="H589" i="1"/>
  <c r="K588" i="1"/>
  <c r="J588" i="1"/>
  <c r="J588" i="1" a="1"/>
  <c r="I588" i="1"/>
  <c r="H588" i="1"/>
  <c r="K587" i="1"/>
  <c r="J587" i="1" a="1"/>
  <c r="J587" i="1" s="1"/>
  <c r="I587" i="1"/>
  <c r="H587" i="1"/>
  <c r="K586" i="1"/>
  <c r="J586" i="1" a="1"/>
  <c r="J586" i="1" s="1"/>
  <c r="I586" i="1"/>
  <c r="H586" i="1"/>
  <c r="K585" i="1"/>
  <c r="J585" i="1"/>
  <c r="J585" i="1" a="1"/>
  <c r="I585" i="1"/>
  <c r="H585" i="1"/>
  <c r="K584" i="1"/>
  <c r="J584" i="1" a="1"/>
  <c r="J584" i="1" s="1"/>
  <c r="I584" i="1"/>
  <c r="H584" i="1"/>
  <c r="K583" i="1"/>
  <c r="J583" i="1" a="1"/>
  <c r="J583" i="1" s="1"/>
  <c r="I583" i="1"/>
  <c r="H583" i="1"/>
  <c r="K582" i="1"/>
  <c r="J582" i="1"/>
  <c r="J582" i="1" a="1"/>
  <c r="I582" i="1"/>
  <c r="H582" i="1"/>
  <c r="K581" i="1"/>
  <c r="J581" i="1"/>
  <c r="J581" i="1" a="1"/>
  <c r="I581" i="1"/>
  <c r="H581" i="1"/>
  <c r="K580" i="1"/>
  <c r="J580" i="1"/>
  <c r="J580" i="1" a="1"/>
  <c r="I580" i="1"/>
  <c r="H580" i="1"/>
  <c r="K579" i="1"/>
  <c r="J579" i="1" a="1"/>
  <c r="J579" i="1" s="1"/>
  <c r="I579" i="1"/>
  <c r="H579" i="1"/>
  <c r="K578" i="1"/>
  <c r="J578" i="1" a="1"/>
  <c r="J578" i="1" s="1"/>
  <c r="I578" i="1"/>
  <c r="H578" i="1"/>
  <c r="K577" i="1"/>
  <c r="J577" i="1"/>
  <c r="J577" i="1" a="1"/>
  <c r="I577" i="1"/>
  <c r="H577" i="1"/>
  <c r="K576" i="1"/>
  <c r="J576" i="1" a="1"/>
  <c r="J576" i="1" s="1"/>
  <c r="I576" i="1"/>
  <c r="H576" i="1"/>
  <c r="K575" i="1"/>
  <c r="J575" i="1" a="1"/>
  <c r="J575" i="1" s="1"/>
  <c r="I575" i="1"/>
  <c r="H575" i="1"/>
  <c r="K574" i="1"/>
  <c r="J574" i="1" a="1"/>
  <c r="J574" i="1" s="1"/>
  <c r="I574" i="1"/>
  <c r="H574" i="1"/>
  <c r="K573" i="1"/>
  <c r="J573" i="1"/>
  <c r="J573" i="1" a="1"/>
  <c r="I573" i="1"/>
  <c r="H573" i="1"/>
  <c r="K572" i="1"/>
  <c r="J572" i="1"/>
  <c r="J572" i="1" a="1"/>
  <c r="I572" i="1"/>
  <c r="H572" i="1"/>
  <c r="K571" i="1"/>
  <c r="J571" i="1" a="1"/>
  <c r="J571" i="1" s="1"/>
  <c r="I571" i="1"/>
  <c r="H571" i="1"/>
  <c r="K570" i="1"/>
  <c r="J570" i="1"/>
  <c r="J570" i="1" a="1"/>
  <c r="I570" i="1"/>
  <c r="H570" i="1"/>
  <c r="K569" i="1"/>
  <c r="J569" i="1"/>
  <c r="J569" i="1" a="1"/>
  <c r="I569" i="1"/>
  <c r="H569" i="1"/>
  <c r="K568" i="1"/>
  <c r="J568" i="1" a="1"/>
  <c r="J568" i="1" s="1"/>
  <c r="I568" i="1"/>
  <c r="H568" i="1"/>
  <c r="K567" i="1"/>
  <c r="J567" i="1" a="1"/>
  <c r="J567" i="1" s="1"/>
  <c r="I567" i="1"/>
  <c r="H567" i="1"/>
  <c r="K566" i="1"/>
  <c r="J566" i="1"/>
  <c r="J566" i="1" a="1"/>
  <c r="I566" i="1"/>
  <c r="H566" i="1"/>
  <c r="K565" i="1"/>
  <c r="J565" i="1"/>
  <c r="J565" i="1" a="1"/>
  <c r="I565" i="1"/>
  <c r="H565" i="1"/>
  <c r="K564" i="1"/>
  <c r="J564" i="1"/>
  <c r="J564" i="1" a="1"/>
  <c r="I564" i="1"/>
  <c r="H564" i="1"/>
  <c r="K563" i="1"/>
  <c r="J563" i="1" a="1"/>
  <c r="J563" i="1" s="1"/>
  <c r="I563" i="1"/>
  <c r="H563" i="1"/>
  <c r="K562" i="1"/>
  <c r="J562" i="1" a="1"/>
  <c r="J562" i="1" s="1"/>
  <c r="I562" i="1"/>
  <c r="H562" i="1"/>
  <c r="K561" i="1"/>
  <c r="J561" i="1"/>
  <c r="J561" i="1" a="1"/>
  <c r="I561" i="1"/>
  <c r="H561" i="1"/>
  <c r="K560" i="1"/>
  <c r="J560" i="1" a="1"/>
  <c r="J560" i="1" s="1"/>
  <c r="I560" i="1"/>
  <c r="H560" i="1"/>
  <c r="K559" i="1"/>
  <c r="J559" i="1" a="1"/>
  <c r="J559" i="1" s="1"/>
  <c r="I559" i="1"/>
  <c r="H559" i="1"/>
  <c r="K558" i="1"/>
  <c r="J558" i="1" a="1"/>
  <c r="J558" i="1" s="1"/>
  <c r="I558" i="1"/>
  <c r="H558" i="1"/>
  <c r="K557" i="1"/>
  <c r="J557" i="1"/>
  <c r="J557" i="1" a="1"/>
  <c r="I557" i="1"/>
  <c r="H557" i="1"/>
  <c r="K556" i="1"/>
  <c r="J556" i="1"/>
  <c r="J556" i="1" a="1"/>
  <c r="I556" i="1"/>
  <c r="H556" i="1"/>
  <c r="K555" i="1"/>
  <c r="J555" i="1" a="1"/>
  <c r="J555" i="1" s="1"/>
  <c r="I555" i="1"/>
  <c r="H555" i="1"/>
  <c r="K554" i="1"/>
  <c r="J554" i="1" a="1"/>
  <c r="J554" i="1" s="1"/>
  <c r="I554" i="1"/>
  <c r="H554" i="1"/>
  <c r="K553" i="1"/>
  <c r="J553" i="1"/>
  <c r="J553" i="1" a="1"/>
  <c r="I553" i="1"/>
  <c r="H553" i="1"/>
  <c r="K552" i="1"/>
  <c r="J552" i="1" a="1"/>
  <c r="J552" i="1" s="1"/>
  <c r="I552" i="1"/>
  <c r="H552" i="1"/>
  <c r="K551" i="1"/>
  <c r="J551" i="1" a="1"/>
  <c r="J551" i="1" s="1"/>
  <c r="I551" i="1"/>
  <c r="H551" i="1"/>
  <c r="K550" i="1"/>
  <c r="J550" i="1" a="1"/>
  <c r="J550" i="1" s="1"/>
  <c r="I550" i="1"/>
  <c r="H550" i="1"/>
  <c r="K549" i="1"/>
  <c r="J549" i="1"/>
  <c r="J549" i="1" a="1"/>
  <c r="I549" i="1"/>
  <c r="H549" i="1"/>
  <c r="K548" i="1"/>
  <c r="J548" i="1"/>
  <c r="J548" i="1" a="1"/>
  <c r="I548" i="1"/>
  <c r="H548" i="1"/>
  <c r="K547" i="1"/>
  <c r="J547" i="1" a="1"/>
  <c r="J547" i="1" s="1"/>
  <c r="I547" i="1"/>
  <c r="H547" i="1"/>
  <c r="K546" i="1"/>
  <c r="J546" i="1" a="1"/>
  <c r="J546" i="1" s="1"/>
  <c r="I546" i="1"/>
  <c r="H546" i="1"/>
  <c r="K545" i="1"/>
  <c r="J545" i="1"/>
  <c r="J545" i="1" a="1"/>
  <c r="I545" i="1"/>
  <c r="H545" i="1"/>
  <c r="K544" i="1"/>
  <c r="J544" i="1" a="1"/>
  <c r="J544" i="1" s="1"/>
  <c r="I544" i="1"/>
  <c r="H544" i="1"/>
  <c r="K543" i="1"/>
  <c r="J543" i="1" a="1"/>
  <c r="J543" i="1" s="1"/>
  <c r="I543" i="1"/>
  <c r="H543" i="1"/>
  <c r="K542" i="1"/>
  <c r="J542" i="1" a="1"/>
  <c r="J542" i="1" s="1"/>
  <c r="I542" i="1"/>
  <c r="H542" i="1"/>
  <c r="K541" i="1"/>
  <c r="J541" i="1"/>
  <c r="J541" i="1" a="1"/>
  <c r="I541" i="1"/>
  <c r="H541" i="1"/>
  <c r="K540" i="1"/>
  <c r="J540" i="1"/>
  <c r="J540" i="1" a="1"/>
  <c r="I540" i="1"/>
  <c r="H540" i="1"/>
  <c r="K539" i="1"/>
  <c r="J539" i="1" a="1"/>
  <c r="J539" i="1" s="1"/>
  <c r="I539" i="1"/>
  <c r="H539" i="1"/>
  <c r="K538" i="1"/>
  <c r="J538" i="1" a="1"/>
  <c r="J538" i="1" s="1"/>
  <c r="I538" i="1"/>
  <c r="H538" i="1"/>
  <c r="K537" i="1"/>
  <c r="J537" i="1"/>
  <c r="J537" i="1" a="1"/>
  <c r="I537" i="1"/>
  <c r="H537" i="1"/>
  <c r="K536" i="1"/>
  <c r="J536" i="1" a="1"/>
  <c r="J536" i="1" s="1"/>
  <c r="I536" i="1"/>
  <c r="H536" i="1"/>
  <c r="K535" i="1"/>
  <c r="J535" i="1" a="1"/>
  <c r="J535" i="1" s="1"/>
  <c r="I535" i="1"/>
  <c r="H535" i="1"/>
  <c r="K534" i="1"/>
  <c r="J534" i="1" a="1"/>
  <c r="J534" i="1" s="1"/>
  <c r="I534" i="1"/>
  <c r="H534" i="1"/>
  <c r="K533" i="1"/>
  <c r="J533" i="1"/>
  <c r="J533" i="1" a="1"/>
  <c r="I533" i="1"/>
  <c r="H533" i="1"/>
  <c r="K532" i="1"/>
  <c r="J532" i="1"/>
  <c r="J532" i="1" a="1"/>
  <c r="I532" i="1"/>
  <c r="H532" i="1"/>
  <c r="K531" i="1"/>
  <c r="J531" i="1" a="1"/>
  <c r="J531" i="1" s="1"/>
  <c r="I531" i="1"/>
  <c r="H531" i="1"/>
  <c r="K530" i="1"/>
  <c r="J530" i="1" a="1"/>
  <c r="J530" i="1" s="1"/>
  <c r="I530" i="1"/>
  <c r="H530" i="1"/>
  <c r="K529" i="1"/>
  <c r="J529" i="1"/>
  <c r="J529" i="1" a="1"/>
  <c r="I529" i="1"/>
  <c r="H529" i="1"/>
  <c r="K528" i="1"/>
  <c r="J528" i="1" a="1"/>
  <c r="J528" i="1" s="1"/>
  <c r="I528" i="1"/>
  <c r="H528" i="1"/>
  <c r="K527" i="1"/>
  <c r="J527" i="1" a="1"/>
  <c r="J527" i="1" s="1"/>
  <c r="I527" i="1"/>
  <c r="H527" i="1"/>
  <c r="K526" i="1"/>
  <c r="J526" i="1" a="1"/>
  <c r="J526" i="1" s="1"/>
  <c r="I526" i="1"/>
  <c r="H526" i="1"/>
  <c r="K525" i="1"/>
  <c r="J525" i="1"/>
  <c r="J525" i="1" a="1"/>
  <c r="I525" i="1"/>
  <c r="H525" i="1"/>
  <c r="K524" i="1"/>
  <c r="J524" i="1"/>
  <c r="J524" i="1" a="1"/>
  <c r="I524" i="1"/>
  <c r="H524" i="1"/>
  <c r="K523" i="1"/>
  <c r="J523" i="1" a="1"/>
  <c r="J523" i="1" s="1"/>
  <c r="I523" i="1"/>
  <c r="H523" i="1"/>
  <c r="K522" i="1"/>
  <c r="J522" i="1" a="1"/>
  <c r="J522" i="1" s="1"/>
  <c r="I522" i="1"/>
  <c r="H522" i="1"/>
  <c r="K521" i="1"/>
  <c r="J521" i="1"/>
  <c r="J521" i="1" a="1"/>
  <c r="I521" i="1"/>
  <c r="H521" i="1"/>
  <c r="K520" i="1"/>
  <c r="J520" i="1" a="1"/>
  <c r="J520" i="1" s="1"/>
  <c r="I520" i="1"/>
  <c r="H520" i="1"/>
  <c r="K519" i="1"/>
  <c r="J519" i="1" a="1"/>
  <c r="J519" i="1" s="1"/>
  <c r="I519" i="1"/>
  <c r="H519" i="1"/>
  <c r="K518" i="1"/>
  <c r="J518" i="1"/>
  <c r="J518" i="1" a="1"/>
  <c r="I518" i="1"/>
  <c r="H518" i="1"/>
  <c r="K517" i="1"/>
  <c r="J517" i="1"/>
  <c r="J517" i="1" a="1"/>
  <c r="I517" i="1"/>
  <c r="H517" i="1"/>
  <c r="K516" i="1"/>
  <c r="J516" i="1"/>
  <c r="J516" i="1" a="1"/>
  <c r="I516" i="1"/>
  <c r="H516" i="1"/>
  <c r="K515" i="1"/>
  <c r="J515" i="1" a="1"/>
  <c r="J515" i="1" s="1"/>
  <c r="I515" i="1"/>
  <c r="H515" i="1"/>
  <c r="K514" i="1"/>
  <c r="J514" i="1" a="1"/>
  <c r="J514" i="1" s="1"/>
  <c r="I514" i="1"/>
  <c r="H514" i="1"/>
  <c r="K513" i="1"/>
  <c r="J513" i="1"/>
  <c r="J513" i="1" a="1"/>
  <c r="I513" i="1"/>
  <c r="H513" i="1"/>
  <c r="K512" i="1"/>
  <c r="J512" i="1" a="1"/>
  <c r="J512" i="1" s="1"/>
  <c r="I512" i="1"/>
  <c r="H512" i="1"/>
  <c r="K511" i="1"/>
  <c r="J511" i="1" a="1"/>
  <c r="J511" i="1" s="1"/>
  <c r="I511" i="1"/>
  <c r="H511" i="1"/>
  <c r="K510" i="1"/>
  <c r="J510" i="1" a="1"/>
  <c r="J510" i="1" s="1"/>
  <c r="I510" i="1"/>
  <c r="H510" i="1"/>
  <c r="K509" i="1"/>
  <c r="J509" i="1"/>
  <c r="J509" i="1" a="1"/>
  <c r="I509" i="1"/>
  <c r="H509" i="1"/>
  <c r="K508" i="1"/>
  <c r="J508" i="1"/>
  <c r="J508" i="1" a="1"/>
  <c r="I508" i="1"/>
  <c r="H508" i="1"/>
  <c r="K507" i="1"/>
  <c r="J507" i="1" a="1"/>
  <c r="J507" i="1" s="1"/>
  <c r="I507" i="1"/>
  <c r="H507" i="1"/>
  <c r="K506" i="1"/>
  <c r="J506" i="1"/>
  <c r="J506" i="1" a="1"/>
  <c r="I506" i="1"/>
  <c r="H506" i="1"/>
  <c r="K505" i="1"/>
  <c r="J505" i="1"/>
  <c r="J505" i="1" a="1"/>
  <c r="I505" i="1"/>
  <c r="H505" i="1"/>
  <c r="K504" i="1"/>
  <c r="J504" i="1" a="1"/>
  <c r="J504" i="1" s="1"/>
  <c r="I504" i="1"/>
  <c r="H504" i="1"/>
  <c r="K503" i="1"/>
  <c r="J503" i="1" a="1"/>
  <c r="J503" i="1" s="1"/>
  <c r="I503" i="1"/>
  <c r="H503" i="1"/>
  <c r="K502" i="1"/>
  <c r="J502" i="1"/>
  <c r="J502" i="1" a="1"/>
  <c r="I502" i="1"/>
  <c r="H502" i="1"/>
  <c r="K501" i="1"/>
  <c r="J501" i="1"/>
  <c r="J501" i="1" a="1"/>
  <c r="I501" i="1"/>
  <c r="H501" i="1"/>
  <c r="K500" i="1"/>
  <c r="J500" i="1"/>
  <c r="J500" i="1" a="1"/>
  <c r="I500" i="1"/>
  <c r="H500" i="1"/>
  <c r="K499" i="1"/>
  <c r="J499" i="1" a="1"/>
  <c r="J499" i="1" s="1"/>
  <c r="I499" i="1"/>
  <c r="H499" i="1"/>
  <c r="K498" i="1"/>
  <c r="J498" i="1" a="1"/>
  <c r="J498" i="1" s="1"/>
  <c r="I498" i="1"/>
  <c r="H498" i="1"/>
  <c r="K497" i="1"/>
  <c r="J497" i="1"/>
  <c r="J497" i="1" a="1"/>
  <c r="I497" i="1"/>
  <c r="H497" i="1"/>
  <c r="K496" i="1"/>
  <c r="J496" i="1" a="1"/>
  <c r="J496" i="1" s="1"/>
  <c r="I496" i="1"/>
  <c r="H496" i="1"/>
  <c r="K495" i="1"/>
  <c r="J495" i="1" a="1"/>
  <c r="J495" i="1" s="1"/>
  <c r="I495" i="1"/>
  <c r="H495" i="1"/>
  <c r="K494" i="1"/>
  <c r="J494" i="1" a="1"/>
  <c r="J494" i="1" s="1"/>
  <c r="I494" i="1"/>
  <c r="H494" i="1"/>
  <c r="K493" i="1"/>
  <c r="J493" i="1"/>
  <c r="J493" i="1" a="1"/>
  <c r="I493" i="1"/>
  <c r="H493" i="1"/>
  <c r="K492" i="1"/>
  <c r="J492" i="1"/>
  <c r="J492" i="1" a="1"/>
  <c r="I492" i="1"/>
  <c r="H492" i="1"/>
  <c r="K491" i="1"/>
  <c r="J491" i="1" a="1"/>
  <c r="J491" i="1" s="1"/>
  <c r="I491" i="1"/>
  <c r="H491" i="1"/>
  <c r="K490" i="1"/>
  <c r="J490" i="1" a="1"/>
  <c r="J490" i="1" s="1"/>
  <c r="I490" i="1"/>
  <c r="H490" i="1"/>
  <c r="K489" i="1"/>
  <c r="J489" i="1"/>
  <c r="J489" i="1" a="1"/>
  <c r="I489" i="1"/>
  <c r="H489" i="1"/>
  <c r="K488" i="1"/>
  <c r="J488" i="1" a="1"/>
  <c r="J488" i="1" s="1"/>
  <c r="I488" i="1"/>
  <c r="H488" i="1"/>
  <c r="K487" i="1"/>
  <c r="J487" i="1" a="1"/>
  <c r="J487" i="1" s="1"/>
  <c r="I487" i="1"/>
  <c r="H487" i="1"/>
  <c r="K486" i="1"/>
  <c r="J486" i="1" a="1"/>
  <c r="J486" i="1" s="1"/>
  <c r="I486" i="1"/>
  <c r="H486" i="1"/>
  <c r="K485" i="1"/>
  <c r="J485" i="1"/>
  <c r="J485" i="1" a="1"/>
  <c r="I485" i="1"/>
  <c r="H485" i="1"/>
  <c r="K484" i="1"/>
  <c r="J484" i="1"/>
  <c r="J484" i="1" a="1"/>
  <c r="I484" i="1"/>
  <c r="H484" i="1"/>
  <c r="K483" i="1"/>
  <c r="J483" i="1" a="1"/>
  <c r="J483" i="1" s="1"/>
  <c r="I483" i="1"/>
  <c r="H483" i="1"/>
  <c r="K482" i="1"/>
  <c r="J482" i="1" a="1"/>
  <c r="J482" i="1" s="1"/>
  <c r="I482" i="1"/>
  <c r="H482" i="1"/>
  <c r="K481" i="1"/>
  <c r="J481" i="1"/>
  <c r="J481" i="1" a="1"/>
  <c r="I481" i="1"/>
  <c r="H481" i="1"/>
  <c r="K480" i="1"/>
  <c r="J480" i="1" a="1"/>
  <c r="J480" i="1" s="1"/>
  <c r="I480" i="1"/>
  <c r="H480" i="1"/>
  <c r="K479" i="1"/>
  <c r="J479" i="1" a="1"/>
  <c r="J479" i="1" s="1"/>
  <c r="I479" i="1"/>
  <c r="H479" i="1"/>
  <c r="K478" i="1"/>
  <c r="J478" i="1" a="1"/>
  <c r="J478" i="1" s="1"/>
  <c r="I478" i="1"/>
  <c r="H478" i="1"/>
  <c r="K477" i="1"/>
  <c r="J477" i="1"/>
  <c r="J477" i="1" a="1"/>
  <c r="I477" i="1"/>
  <c r="H477" i="1"/>
  <c r="K476" i="1"/>
  <c r="J476" i="1"/>
  <c r="J476" i="1" a="1"/>
  <c r="I476" i="1"/>
  <c r="H476" i="1"/>
  <c r="K475" i="1"/>
  <c r="J475" i="1" a="1"/>
  <c r="J475" i="1" s="1"/>
  <c r="I475" i="1"/>
  <c r="H475" i="1"/>
  <c r="K474" i="1"/>
  <c r="J474" i="1" a="1"/>
  <c r="J474" i="1" s="1"/>
  <c r="I474" i="1"/>
  <c r="H474" i="1"/>
  <c r="K473" i="1"/>
  <c r="J473" i="1"/>
  <c r="J473" i="1" a="1"/>
  <c r="I473" i="1"/>
  <c r="H473" i="1"/>
  <c r="K472" i="1"/>
  <c r="J472" i="1" a="1"/>
  <c r="J472" i="1" s="1"/>
  <c r="I472" i="1"/>
  <c r="H472" i="1"/>
  <c r="K471" i="1"/>
  <c r="J471" i="1" a="1"/>
  <c r="J471" i="1" s="1"/>
  <c r="I471" i="1"/>
  <c r="H471" i="1"/>
  <c r="K470" i="1"/>
  <c r="J470" i="1" a="1"/>
  <c r="J470" i="1" s="1"/>
  <c r="I470" i="1"/>
  <c r="H470" i="1"/>
  <c r="K469" i="1"/>
  <c r="J469" i="1"/>
  <c r="J469" i="1" a="1"/>
  <c r="I469" i="1"/>
  <c r="H469" i="1"/>
  <c r="K468" i="1"/>
  <c r="J468" i="1"/>
  <c r="J468" i="1" a="1"/>
  <c r="I468" i="1"/>
  <c r="H468" i="1"/>
  <c r="K467" i="1"/>
  <c r="J467" i="1" a="1"/>
  <c r="J467" i="1" s="1"/>
  <c r="I467" i="1"/>
  <c r="H467" i="1"/>
  <c r="K466" i="1"/>
  <c r="J466" i="1" a="1"/>
  <c r="J466" i="1" s="1"/>
  <c r="I466" i="1"/>
  <c r="H466" i="1"/>
  <c r="K465" i="1"/>
  <c r="J465" i="1"/>
  <c r="J465" i="1" a="1"/>
  <c r="I465" i="1"/>
  <c r="H465" i="1"/>
  <c r="K464" i="1"/>
  <c r="J464" i="1" a="1"/>
  <c r="J464" i="1" s="1"/>
  <c r="I464" i="1"/>
  <c r="H464" i="1"/>
  <c r="K463" i="1"/>
  <c r="J463" i="1" a="1"/>
  <c r="J463" i="1" s="1"/>
  <c r="I463" i="1"/>
  <c r="H463" i="1"/>
  <c r="K462" i="1"/>
  <c r="J462" i="1" a="1"/>
  <c r="J462" i="1" s="1"/>
  <c r="I462" i="1"/>
  <c r="H462" i="1"/>
  <c r="K461" i="1"/>
  <c r="J461" i="1"/>
  <c r="J461" i="1" a="1"/>
  <c r="I461" i="1"/>
  <c r="H461" i="1"/>
  <c r="K460" i="1"/>
  <c r="J460" i="1"/>
  <c r="J460" i="1" a="1"/>
  <c r="I460" i="1"/>
  <c r="H460" i="1"/>
  <c r="K459" i="1"/>
  <c r="J459" i="1" a="1"/>
  <c r="J459" i="1" s="1"/>
  <c r="I459" i="1"/>
  <c r="H459" i="1"/>
  <c r="K458" i="1"/>
  <c r="J458" i="1" a="1"/>
  <c r="J458" i="1" s="1"/>
  <c r="I458" i="1"/>
  <c r="H458" i="1"/>
  <c r="K457" i="1"/>
  <c r="J457" i="1"/>
  <c r="J457" i="1" a="1"/>
  <c r="I457" i="1"/>
  <c r="H457" i="1"/>
  <c r="K456" i="1"/>
  <c r="J456" i="1" a="1"/>
  <c r="J456" i="1" s="1"/>
  <c r="I456" i="1"/>
  <c r="H456" i="1"/>
  <c r="K455" i="1"/>
  <c r="J455" i="1" a="1"/>
  <c r="J455" i="1" s="1"/>
  <c r="I455" i="1"/>
  <c r="H455" i="1"/>
  <c r="K454" i="1"/>
  <c r="J454" i="1"/>
  <c r="J454" i="1" a="1"/>
  <c r="I454" i="1"/>
  <c r="H454" i="1"/>
  <c r="K453" i="1"/>
  <c r="J453" i="1"/>
  <c r="J453" i="1" a="1"/>
  <c r="I453" i="1"/>
  <c r="H453" i="1"/>
  <c r="K452" i="1"/>
  <c r="J452" i="1"/>
  <c r="J452" i="1" a="1"/>
  <c r="I452" i="1"/>
  <c r="H452" i="1"/>
  <c r="K451" i="1"/>
  <c r="J451" i="1" a="1"/>
  <c r="J451" i="1" s="1"/>
  <c r="I451" i="1"/>
  <c r="H451" i="1"/>
  <c r="K450" i="1"/>
  <c r="J450" i="1" a="1"/>
  <c r="J450" i="1" s="1"/>
  <c r="I450" i="1"/>
  <c r="H450" i="1"/>
  <c r="K449" i="1"/>
  <c r="J449" i="1"/>
  <c r="J449" i="1" a="1"/>
  <c r="I449" i="1"/>
  <c r="H449" i="1"/>
  <c r="K448" i="1"/>
  <c r="J448" i="1" a="1"/>
  <c r="J448" i="1" s="1"/>
  <c r="I448" i="1"/>
  <c r="H448" i="1"/>
  <c r="K447" i="1"/>
  <c r="J447" i="1" a="1"/>
  <c r="J447" i="1" s="1"/>
  <c r="I447" i="1"/>
  <c r="H447" i="1"/>
  <c r="K446" i="1"/>
  <c r="J446" i="1" a="1"/>
  <c r="J446" i="1" s="1"/>
  <c r="I446" i="1"/>
  <c r="H446" i="1"/>
  <c r="K445" i="1"/>
  <c r="J445" i="1"/>
  <c r="J445" i="1" a="1"/>
  <c r="I445" i="1"/>
  <c r="H445" i="1"/>
  <c r="K444" i="1"/>
  <c r="J444" i="1"/>
  <c r="J444" i="1" a="1"/>
  <c r="I444" i="1"/>
  <c r="H444" i="1"/>
  <c r="K443" i="1"/>
  <c r="J443" i="1" a="1"/>
  <c r="J443" i="1" s="1"/>
  <c r="I443" i="1"/>
  <c r="H443" i="1"/>
  <c r="K442" i="1"/>
  <c r="J442" i="1"/>
  <c r="J442" i="1" a="1"/>
  <c r="I442" i="1"/>
  <c r="H442" i="1"/>
  <c r="K441" i="1"/>
  <c r="J441" i="1"/>
  <c r="J441" i="1" a="1"/>
  <c r="I441" i="1"/>
  <c r="H441" i="1"/>
  <c r="K440" i="1"/>
  <c r="J440" i="1" a="1"/>
  <c r="J440" i="1" s="1"/>
  <c r="I440" i="1"/>
  <c r="H440" i="1"/>
  <c r="K439" i="1"/>
  <c r="J439" i="1" a="1"/>
  <c r="J439" i="1" s="1"/>
  <c r="I439" i="1"/>
  <c r="H439" i="1"/>
  <c r="K438" i="1"/>
  <c r="J438" i="1"/>
  <c r="J438" i="1" a="1"/>
  <c r="I438" i="1"/>
  <c r="H438" i="1"/>
  <c r="K437" i="1"/>
  <c r="J437" i="1"/>
  <c r="J437" i="1" a="1"/>
  <c r="I437" i="1"/>
  <c r="H437" i="1"/>
  <c r="K436" i="1"/>
  <c r="J436" i="1"/>
  <c r="J436" i="1" a="1"/>
  <c r="I436" i="1"/>
  <c r="H436" i="1"/>
  <c r="K435" i="1"/>
  <c r="J435" i="1" a="1"/>
  <c r="J435" i="1" s="1"/>
  <c r="I435" i="1"/>
  <c r="H435" i="1"/>
  <c r="K434" i="1"/>
  <c r="J434" i="1" a="1"/>
  <c r="J434" i="1" s="1"/>
  <c r="I434" i="1"/>
  <c r="H434" i="1"/>
  <c r="K433" i="1"/>
  <c r="J433" i="1"/>
  <c r="J433" i="1" a="1"/>
  <c r="I433" i="1"/>
  <c r="H433" i="1"/>
  <c r="K432" i="1"/>
  <c r="J432" i="1" a="1"/>
  <c r="J432" i="1" s="1"/>
  <c r="I432" i="1"/>
  <c r="H432" i="1"/>
  <c r="K431" i="1"/>
  <c r="J431" i="1" a="1"/>
  <c r="J431" i="1" s="1"/>
  <c r="I431" i="1"/>
  <c r="H431" i="1"/>
  <c r="K430" i="1"/>
  <c r="J430" i="1" a="1"/>
  <c r="J430" i="1" s="1"/>
  <c r="I430" i="1"/>
  <c r="H430" i="1"/>
  <c r="K429" i="1"/>
  <c r="J429" i="1"/>
  <c r="J429" i="1" a="1"/>
  <c r="I429" i="1"/>
  <c r="H429" i="1"/>
  <c r="K428" i="1"/>
  <c r="J428" i="1"/>
  <c r="J428" i="1" a="1"/>
  <c r="I428" i="1"/>
  <c r="H428" i="1"/>
  <c r="K427" i="1"/>
  <c r="J427" i="1" a="1"/>
  <c r="J427" i="1" s="1"/>
  <c r="I427" i="1"/>
  <c r="H427" i="1"/>
  <c r="K426" i="1"/>
  <c r="J426" i="1" a="1"/>
  <c r="J426" i="1" s="1"/>
  <c r="I426" i="1"/>
  <c r="H426" i="1"/>
  <c r="K425" i="1"/>
  <c r="J425" i="1"/>
  <c r="J425" i="1" a="1"/>
  <c r="I425" i="1"/>
  <c r="H425" i="1"/>
  <c r="K424" i="1"/>
  <c r="J424" i="1" a="1"/>
  <c r="J424" i="1" s="1"/>
  <c r="I424" i="1"/>
  <c r="H424" i="1"/>
  <c r="K423" i="1"/>
  <c r="J423" i="1" a="1"/>
  <c r="J423" i="1" s="1"/>
  <c r="I423" i="1"/>
  <c r="H423" i="1"/>
  <c r="K422" i="1"/>
  <c r="J422" i="1" a="1"/>
  <c r="J422" i="1" s="1"/>
  <c r="I422" i="1"/>
  <c r="H422" i="1"/>
  <c r="K421" i="1"/>
  <c r="J421" i="1"/>
  <c r="J421" i="1" a="1"/>
  <c r="I421" i="1"/>
  <c r="H421" i="1"/>
  <c r="K420" i="1"/>
  <c r="J420" i="1"/>
  <c r="J420" i="1" a="1"/>
  <c r="I420" i="1"/>
  <c r="H420" i="1"/>
  <c r="K419" i="1"/>
  <c r="J419" i="1" a="1"/>
  <c r="J419" i="1" s="1"/>
  <c r="I419" i="1"/>
  <c r="H419" i="1"/>
  <c r="K418" i="1"/>
  <c r="J418" i="1" a="1"/>
  <c r="J418" i="1" s="1"/>
  <c r="I418" i="1"/>
  <c r="H418" i="1"/>
  <c r="K417" i="1"/>
  <c r="J417" i="1"/>
  <c r="J417" i="1" a="1"/>
  <c r="I417" i="1"/>
  <c r="H417" i="1"/>
  <c r="K416" i="1"/>
  <c r="J416" i="1" a="1"/>
  <c r="J416" i="1" s="1"/>
  <c r="I416" i="1"/>
  <c r="H416" i="1"/>
  <c r="K415" i="1"/>
  <c r="J415" i="1" a="1"/>
  <c r="J415" i="1" s="1"/>
  <c r="I415" i="1"/>
  <c r="H415" i="1"/>
  <c r="K414" i="1"/>
  <c r="J414" i="1" a="1"/>
  <c r="J414" i="1" s="1"/>
  <c r="I414" i="1"/>
  <c r="H414" i="1"/>
  <c r="K413" i="1"/>
  <c r="J413" i="1"/>
  <c r="J413" i="1" a="1"/>
  <c r="I413" i="1"/>
  <c r="H413" i="1"/>
  <c r="K412" i="1"/>
  <c r="J412" i="1"/>
  <c r="J412" i="1" a="1"/>
  <c r="I412" i="1"/>
  <c r="H412" i="1"/>
  <c r="K411" i="1"/>
  <c r="J411" i="1" a="1"/>
  <c r="J411" i="1" s="1"/>
  <c r="I411" i="1"/>
  <c r="H411" i="1"/>
  <c r="K410" i="1"/>
  <c r="J410" i="1" a="1"/>
  <c r="J410" i="1" s="1"/>
  <c r="I410" i="1"/>
  <c r="H410" i="1"/>
  <c r="K409" i="1"/>
  <c r="J409" i="1"/>
  <c r="J409" i="1" a="1"/>
  <c r="I409" i="1"/>
  <c r="H409" i="1"/>
  <c r="K408" i="1"/>
  <c r="J408" i="1" a="1"/>
  <c r="J408" i="1" s="1"/>
  <c r="I408" i="1"/>
  <c r="H408" i="1"/>
  <c r="K407" i="1"/>
  <c r="J407" i="1" a="1"/>
  <c r="J407" i="1" s="1"/>
  <c r="I407" i="1"/>
  <c r="H407" i="1"/>
  <c r="K406" i="1"/>
  <c r="J406" i="1" a="1"/>
  <c r="J406" i="1" s="1"/>
  <c r="I406" i="1"/>
  <c r="H406" i="1"/>
  <c r="K405" i="1"/>
  <c r="J405" i="1"/>
  <c r="J405" i="1" a="1"/>
  <c r="I405" i="1"/>
  <c r="H405" i="1"/>
  <c r="K404" i="1"/>
  <c r="J404" i="1"/>
  <c r="J404" i="1" a="1"/>
  <c r="I404" i="1"/>
  <c r="H404" i="1"/>
  <c r="K403" i="1"/>
  <c r="J403" i="1" a="1"/>
  <c r="J403" i="1" s="1"/>
  <c r="I403" i="1"/>
  <c r="H403" i="1"/>
  <c r="K402" i="1"/>
  <c r="J402" i="1" a="1"/>
  <c r="J402" i="1" s="1"/>
  <c r="I402" i="1"/>
  <c r="H402" i="1"/>
  <c r="K401" i="1"/>
  <c r="J401" i="1"/>
  <c r="J401" i="1" a="1"/>
  <c r="I401" i="1"/>
  <c r="H401" i="1"/>
  <c r="K400" i="1"/>
  <c r="J400" i="1" a="1"/>
  <c r="J400" i="1" s="1"/>
  <c r="I400" i="1"/>
  <c r="H400" i="1"/>
  <c r="K399" i="1"/>
  <c r="J399" i="1" a="1"/>
  <c r="J399" i="1" s="1"/>
  <c r="I399" i="1"/>
  <c r="H399" i="1"/>
  <c r="K398" i="1"/>
  <c r="J398" i="1" a="1"/>
  <c r="J398" i="1" s="1"/>
  <c r="I398" i="1"/>
  <c r="H398" i="1"/>
  <c r="K397" i="1"/>
  <c r="J397" i="1"/>
  <c r="J397" i="1" a="1"/>
  <c r="I397" i="1"/>
  <c r="H397" i="1"/>
  <c r="K396" i="1"/>
  <c r="J396" i="1"/>
  <c r="J396" i="1" a="1"/>
  <c r="I396" i="1"/>
  <c r="H396" i="1"/>
  <c r="K395" i="1"/>
  <c r="J395" i="1" a="1"/>
  <c r="J395" i="1" s="1"/>
  <c r="I395" i="1"/>
  <c r="H395" i="1"/>
  <c r="K394" i="1"/>
  <c r="J394" i="1" a="1"/>
  <c r="J394" i="1" s="1"/>
  <c r="I394" i="1"/>
  <c r="H394" i="1"/>
  <c r="K393" i="1"/>
  <c r="J393" i="1"/>
  <c r="J393" i="1" a="1"/>
  <c r="I393" i="1"/>
  <c r="H393" i="1"/>
  <c r="K392" i="1"/>
  <c r="J392" i="1" a="1"/>
  <c r="J392" i="1" s="1"/>
  <c r="I392" i="1"/>
  <c r="H392" i="1"/>
  <c r="K391" i="1"/>
  <c r="J391" i="1" a="1"/>
  <c r="J391" i="1" s="1"/>
  <c r="I391" i="1"/>
  <c r="H391" i="1"/>
  <c r="K390" i="1"/>
  <c r="J390" i="1"/>
  <c r="J390" i="1" a="1"/>
  <c r="I390" i="1"/>
  <c r="H390" i="1"/>
  <c r="K389" i="1"/>
  <c r="J389" i="1"/>
  <c r="J389" i="1" a="1"/>
  <c r="I389" i="1"/>
  <c r="H389" i="1"/>
  <c r="K388" i="1"/>
  <c r="J388" i="1"/>
  <c r="J388" i="1" a="1"/>
  <c r="I388" i="1"/>
  <c r="H388" i="1"/>
  <c r="K387" i="1"/>
  <c r="J387" i="1" a="1"/>
  <c r="J387" i="1" s="1"/>
  <c r="I387" i="1"/>
  <c r="H387" i="1"/>
  <c r="K386" i="1"/>
  <c r="J386" i="1" a="1"/>
  <c r="J386" i="1" s="1"/>
  <c r="I386" i="1"/>
  <c r="H386" i="1"/>
  <c r="K385" i="1"/>
  <c r="J385" i="1"/>
  <c r="J385" i="1" a="1"/>
  <c r="I385" i="1"/>
  <c r="H385" i="1"/>
  <c r="K384" i="1"/>
  <c r="J384" i="1" a="1"/>
  <c r="J384" i="1" s="1"/>
  <c r="I384" i="1"/>
  <c r="H384" i="1"/>
  <c r="K383" i="1"/>
  <c r="J383" i="1" a="1"/>
  <c r="J383" i="1" s="1"/>
  <c r="I383" i="1"/>
  <c r="H383" i="1"/>
  <c r="K382" i="1"/>
  <c r="J382" i="1" a="1"/>
  <c r="J382" i="1" s="1"/>
  <c r="I382" i="1"/>
  <c r="H382" i="1"/>
  <c r="K381" i="1"/>
  <c r="J381" i="1"/>
  <c r="J381" i="1" a="1"/>
  <c r="I381" i="1"/>
  <c r="H381" i="1"/>
  <c r="K380" i="1"/>
  <c r="J380" i="1"/>
  <c r="J380" i="1" a="1"/>
  <c r="I380" i="1"/>
  <c r="H380" i="1"/>
  <c r="K379" i="1"/>
  <c r="J379" i="1" a="1"/>
  <c r="J379" i="1" s="1"/>
  <c r="I379" i="1"/>
  <c r="H379" i="1"/>
  <c r="K378" i="1"/>
  <c r="J378" i="1"/>
  <c r="J378" i="1" a="1"/>
  <c r="I378" i="1"/>
  <c r="H378" i="1"/>
  <c r="K377" i="1"/>
  <c r="J377" i="1"/>
  <c r="J377" i="1" a="1"/>
  <c r="I377" i="1"/>
  <c r="H377" i="1"/>
  <c r="K376" i="1"/>
  <c r="J376" i="1" a="1"/>
  <c r="J376" i="1" s="1"/>
  <c r="I376" i="1"/>
  <c r="H376" i="1"/>
  <c r="K375" i="1"/>
  <c r="J375" i="1" a="1"/>
  <c r="J375" i="1" s="1"/>
  <c r="I375" i="1"/>
  <c r="H375" i="1"/>
  <c r="K374" i="1"/>
  <c r="J374" i="1" a="1"/>
  <c r="J374" i="1" s="1"/>
  <c r="I374" i="1"/>
  <c r="H374" i="1"/>
  <c r="K373" i="1"/>
  <c r="J373" i="1"/>
  <c r="J373" i="1" a="1"/>
  <c r="I373" i="1"/>
  <c r="H373" i="1"/>
  <c r="K372" i="1"/>
  <c r="J372" i="1"/>
  <c r="J372" i="1" a="1"/>
  <c r="I372" i="1"/>
  <c r="H372" i="1"/>
  <c r="K371" i="1"/>
  <c r="J371" i="1" a="1"/>
  <c r="J371" i="1" s="1"/>
  <c r="I371" i="1"/>
  <c r="H371" i="1"/>
  <c r="K370" i="1"/>
  <c r="J370" i="1" a="1"/>
  <c r="J370" i="1" s="1"/>
  <c r="I370" i="1"/>
  <c r="H370" i="1"/>
  <c r="K369" i="1"/>
  <c r="J369" i="1"/>
  <c r="J369" i="1" a="1"/>
  <c r="I369" i="1"/>
  <c r="H369" i="1"/>
  <c r="K368" i="1"/>
  <c r="J368" i="1" a="1"/>
  <c r="J368" i="1" s="1"/>
  <c r="I368" i="1"/>
  <c r="H368" i="1"/>
  <c r="K367" i="1"/>
  <c r="J367" i="1" a="1"/>
  <c r="J367" i="1" s="1"/>
  <c r="I367" i="1"/>
  <c r="H367" i="1"/>
  <c r="K366" i="1"/>
  <c r="J366" i="1" a="1"/>
  <c r="J366" i="1" s="1"/>
  <c r="I366" i="1"/>
  <c r="H366" i="1"/>
  <c r="K365" i="1"/>
  <c r="J365" i="1"/>
  <c r="J365" i="1" a="1"/>
  <c r="I365" i="1"/>
  <c r="H365" i="1"/>
  <c r="K364" i="1"/>
  <c r="J364" i="1"/>
  <c r="J364" i="1" a="1"/>
  <c r="I364" i="1"/>
  <c r="H364" i="1"/>
  <c r="K363" i="1"/>
  <c r="J363" i="1" a="1"/>
  <c r="J363" i="1" s="1"/>
  <c r="I363" i="1"/>
  <c r="H363" i="1"/>
  <c r="K362" i="1"/>
  <c r="J362" i="1" a="1"/>
  <c r="J362" i="1" s="1"/>
  <c r="I362" i="1"/>
  <c r="H362" i="1"/>
  <c r="K361" i="1"/>
  <c r="J361" i="1"/>
  <c r="J361" i="1" a="1"/>
  <c r="I361" i="1"/>
  <c r="H361" i="1"/>
  <c r="K360" i="1"/>
  <c r="J360" i="1" a="1"/>
  <c r="J360" i="1" s="1"/>
  <c r="I360" i="1"/>
  <c r="H360" i="1"/>
  <c r="K359" i="1"/>
  <c r="J359" i="1" a="1"/>
  <c r="J359" i="1" s="1"/>
  <c r="I359" i="1"/>
  <c r="H359" i="1"/>
  <c r="K358" i="1"/>
  <c r="J358" i="1" a="1"/>
  <c r="J358" i="1" s="1"/>
  <c r="I358" i="1"/>
  <c r="H358" i="1"/>
  <c r="K357" i="1"/>
  <c r="J357" i="1"/>
  <c r="J357" i="1" a="1"/>
  <c r="I357" i="1"/>
  <c r="H357" i="1"/>
  <c r="K356" i="1"/>
  <c r="J356" i="1"/>
  <c r="J356" i="1" a="1"/>
  <c r="I356" i="1"/>
  <c r="H356" i="1"/>
  <c r="K355" i="1"/>
  <c r="J355" i="1" a="1"/>
  <c r="J355" i="1" s="1"/>
  <c r="I355" i="1"/>
  <c r="H355" i="1"/>
  <c r="K354" i="1"/>
  <c r="J354" i="1" a="1"/>
  <c r="J354" i="1" s="1"/>
  <c r="I354" i="1"/>
  <c r="H354" i="1"/>
  <c r="K353" i="1"/>
  <c r="J353" i="1"/>
  <c r="J353" i="1" a="1"/>
  <c r="I353" i="1"/>
  <c r="H353" i="1"/>
  <c r="K352" i="1"/>
  <c r="J352" i="1" a="1"/>
  <c r="J352" i="1" s="1"/>
  <c r="I352" i="1"/>
  <c r="H352" i="1"/>
  <c r="K351" i="1"/>
  <c r="J351" i="1" a="1"/>
  <c r="J351" i="1" s="1"/>
  <c r="I351" i="1"/>
  <c r="H351" i="1"/>
  <c r="K350" i="1"/>
  <c r="J350" i="1" a="1"/>
  <c r="J350" i="1" s="1"/>
  <c r="I350" i="1"/>
  <c r="H350" i="1"/>
  <c r="K349" i="1"/>
  <c r="J349" i="1"/>
  <c r="J349" i="1" a="1"/>
  <c r="I349" i="1"/>
  <c r="H349" i="1"/>
  <c r="K348" i="1"/>
  <c r="J348" i="1"/>
  <c r="J348" i="1" a="1"/>
  <c r="I348" i="1"/>
  <c r="H348" i="1"/>
  <c r="K347" i="1"/>
  <c r="J347" i="1" a="1"/>
  <c r="J347" i="1" s="1"/>
  <c r="I347" i="1"/>
  <c r="H347" i="1"/>
  <c r="K346" i="1"/>
  <c r="J346" i="1" a="1"/>
  <c r="J346" i="1" s="1"/>
  <c r="I346" i="1"/>
  <c r="H346" i="1"/>
  <c r="K345" i="1"/>
  <c r="J345" i="1"/>
  <c r="J345" i="1" a="1"/>
  <c r="I345" i="1"/>
  <c r="H345" i="1"/>
  <c r="K344" i="1"/>
  <c r="J344" i="1" a="1"/>
  <c r="J344" i="1" s="1"/>
  <c r="I344" i="1"/>
  <c r="H344" i="1"/>
  <c r="K343" i="1"/>
  <c r="J343" i="1" a="1"/>
  <c r="J343" i="1" s="1"/>
  <c r="I343" i="1"/>
  <c r="H343" i="1"/>
  <c r="K342" i="1"/>
  <c r="J342" i="1" a="1"/>
  <c r="J342" i="1" s="1"/>
  <c r="I342" i="1"/>
  <c r="H342" i="1"/>
  <c r="K341" i="1"/>
  <c r="J341" i="1"/>
  <c r="J341" i="1" a="1"/>
  <c r="I341" i="1"/>
  <c r="H341" i="1"/>
  <c r="K340" i="1"/>
  <c r="J340" i="1"/>
  <c r="J340" i="1" a="1"/>
  <c r="I340" i="1"/>
  <c r="H340" i="1"/>
  <c r="K339" i="1"/>
  <c r="J339" i="1" a="1"/>
  <c r="J339" i="1" s="1"/>
  <c r="I339" i="1"/>
  <c r="H339" i="1"/>
  <c r="K338" i="1"/>
  <c r="J338" i="1" a="1"/>
  <c r="J338" i="1" s="1"/>
  <c r="I338" i="1"/>
  <c r="H338" i="1"/>
  <c r="K337" i="1"/>
  <c r="J337" i="1"/>
  <c r="J337" i="1" a="1"/>
  <c r="I337" i="1"/>
  <c r="H337" i="1"/>
  <c r="K336" i="1"/>
  <c r="J336" i="1" a="1"/>
  <c r="J336" i="1" s="1"/>
  <c r="I336" i="1"/>
  <c r="H336" i="1"/>
  <c r="K335" i="1"/>
  <c r="J335" i="1" a="1"/>
  <c r="J335" i="1" s="1"/>
  <c r="I335" i="1"/>
  <c r="H335" i="1"/>
  <c r="K334" i="1"/>
  <c r="J334" i="1" a="1"/>
  <c r="J334" i="1" s="1"/>
  <c r="I334" i="1"/>
  <c r="H334" i="1"/>
  <c r="K333" i="1"/>
  <c r="J333" i="1"/>
  <c r="J333" i="1" a="1"/>
  <c r="I333" i="1"/>
  <c r="H333" i="1"/>
  <c r="K332" i="1"/>
  <c r="J332" i="1"/>
  <c r="J332" i="1" a="1"/>
  <c r="I332" i="1"/>
  <c r="H332" i="1"/>
  <c r="K331" i="1"/>
  <c r="J331" i="1" a="1"/>
  <c r="J331" i="1" s="1"/>
  <c r="I331" i="1"/>
  <c r="H331" i="1"/>
  <c r="K330" i="1"/>
  <c r="J330" i="1" a="1"/>
  <c r="J330" i="1" s="1"/>
  <c r="I330" i="1"/>
  <c r="H330" i="1"/>
  <c r="K329" i="1"/>
  <c r="J329" i="1"/>
  <c r="J329" i="1" a="1"/>
  <c r="I329" i="1"/>
  <c r="H329" i="1"/>
  <c r="K328" i="1"/>
  <c r="J328" i="1" a="1"/>
  <c r="J328" i="1" s="1"/>
  <c r="I328" i="1"/>
  <c r="H328" i="1"/>
  <c r="K327" i="1"/>
  <c r="J327" i="1" a="1"/>
  <c r="J327" i="1" s="1"/>
  <c r="I327" i="1"/>
  <c r="H327" i="1"/>
  <c r="K326" i="1"/>
  <c r="J326" i="1"/>
  <c r="J326" i="1" a="1"/>
  <c r="I326" i="1"/>
  <c r="H326" i="1"/>
  <c r="K325" i="1"/>
  <c r="J325" i="1" a="1"/>
  <c r="J325" i="1" s="1"/>
  <c r="I325" i="1"/>
  <c r="H325" i="1"/>
  <c r="K324" i="1"/>
  <c r="J324" i="1"/>
  <c r="J324" i="1" a="1"/>
  <c r="I324" i="1"/>
  <c r="H324" i="1"/>
  <c r="K323" i="1"/>
  <c r="J323" i="1" a="1"/>
  <c r="J323" i="1" s="1"/>
  <c r="I323" i="1"/>
  <c r="H323" i="1"/>
  <c r="K322" i="1"/>
  <c r="J322" i="1" a="1"/>
  <c r="J322" i="1" s="1"/>
  <c r="I322" i="1"/>
  <c r="H322" i="1"/>
  <c r="K321" i="1"/>
  <c r="J321" i="1" a="1"/>
  <c r="J321" i="1" s="1"/>
  <c r="I321" i="1"/>
  <c r="H321" i="1"/>
  <c r="K320" i="1"/>
  <c r="J320" i="1" a="1"/>
  <c r="J320" i="1" s="1"/>
  <c r="I320" i="1"/>
  <c r="H320" i="1"/>
  <c r="K319" i="1"/>
  <c r="J319" i="1"/>
  <c r="J319" i="1" a="1"/>
  <c r="I319" i="1"/>
  <c r="H319" i="1"/>
  <c r="K318" i="1"/>
  <c r="J318" i="1"/>
  <c r="J318" i="1" a="1"/>
  <c r="I318" i="1"/>
  <c r="H318" i="1"/>
  <c r="K317" i="1"/>
  <c r="J317" i="1" a="1"/>
  <c r="J317" i="1" s="1"/>
  <c r="I317" i="1"/>
  <c r="H317" i="1"/>
  <c r="K316" i="1"/>
  <c r="J316" i="1" a="1"/>
  <c r="J316" i="1" s="1"/>
  <c r="I316" i="1"/>
  <c r="H316" i="1"/>
  <c r="K315" i="1"/>
  <c r="J315" i="1" a="1"/>
  <c r="J315" i="1" s="1"/>
  <c r="I315" i="1"/>
  <c r="H315" i="1"/>
  <c r="K314" i="1"/>
  <c r="J314" i="1" a="1"/>
  <c r="J314" i="1" s="1"/>
  <c r="I314" i="1"/>
  <c r="H314" i="1"/>
  <c r="K313" i="1"/>
  <c r="J313" i="1" a="1"/>
  <c r="J313" i="1" s="1"/>
  <c r="I313" i="1"/>
  <c r="H313" i="1"/>
  <c r="K312" i="1"/>
  <c r="J312" i="1" a="1"/>
  <c r="J312" i="1" s="1"/>
  <c r="I312" i="1"/>
  <c r="H312" i="1"/>
  <c r="K311" i="1"/>
  <c r="J311" i="1"/>
  <c r="J311" i="1" a="1"/>
  <c r="I311" i="1"/>
  <c r="H311" i="1"/>
  <c r="K310" i="1"/>
  <c r="J310" i="1"/>
  <c r="J310" i="1" a="1"/>
  <c r="I310" i="1"/>
  <c r="H310" i="1"/>
  <c r="K309" i="1"/>
  <c r="J309" i="1" a="1"/>
  <c r="J309" i="1" s="1"/>
  <c r="I309" i="1"/>
  <c r="H309" i="1"/>
  <c r="K308" i="1"/>
  <c r="J308" i="1" a="1"/>
  <c r="J308" i="1" s="1"/>
  <c r="I308" i="1"/>
  <c r="H308" i="1"/>
  <c r="K307" i="1"/>
  <c r="J307" i="1" a="1"/>
  <c r="J307" i="1" s="1"/>
  <c r="I307" i="1"/>
  <c r="H307" i="1"/>
  <c r="K306" i="1"/>
  <c r="J306" i="1" a="1"/>
  <c r="J306" i="1" s="1"/>
  <c r="I306" i="1"/>
  <c r="H306" i="1"/>
  <c r="K305" i="1"/>
  <c r="J305" i="1" a="1"/>
  <c r="J305" i="1" s="1"/>
  <c r="I305" i="1"/>
  <c r="H305" i="1"/>
  <c r="K304" i="1"/>
  <c r="J304" i="1" a="1"/>
  <c r="J304" i="1" s="1"/>
  <c r="I304" i="1"/>
  <c r="H304" i="1"/>
  <c r="K303" i="1"/>
  <c r="J303" i="1"/>
  <c r="J303" i="1" a="1"/>
  <c r="I303" i="1"/>
  <c r="H303" i="1"/>
  <c r="K302" i="1"/>
  <c r="J302" i="1"/>
  <c r="J302" i="1" a="1"/>
  <c r="I302" i="1"/>
  <c r="H302" i="1"/>
  <c r="K301" i="1"/>
  <c r="J301" i="1" a="1"/>
  <c r="J301" i="1" s="1"/>
  <c r="I301" i="1"/>
  <c r="H301" i="1"/>
  <c r="K300" i="1"/>
  <c r="J300" i="1" a="1"/>
  <c r="J300" i="1" s="1"/>
  <c r="I300" i="1"/>
  <c r="H300" i="1"/>
  <c r="K299" i="1"/>
  <c r="J299" i="1" a="1"/>
  <c r="J299" i="1" s="1"/>
  <c r="I299" i="1"/>
  <c r="H299" i="1"/>
  <c r="K298" i="1"/>
  <c r="J298" i="1" a="1"/>
  <c r="J298" i="1" s="1"/>
  <c r="I298" i="1"/>
  <c r="H298" i="1"/>
  <c r="K297" i="1"/>
  <c r="J297" i="1" a="1"/>
  <c r="J297" i="1" s="1"/>
  <c r="I297" i="1"/>
  <c r="H297" i="1"/>
  <c r="K296" i="1"/>
  <c r="J296" i="1" a="1"/>
  <c r="J296" i="1" s="1"/>
  <c r="I296" i="1"/>
  <c r="H296" i="1"/>
  <c r="K295" i="1"/>
  <c r="J295" i="1"/>
  <c r="J295" i="1" a="1"/>
  <c r="I295" i="1"/>
  <c r="H295" i="1"/>
  <c r="K294" i="1"/>
  <c r="J294" i="1"/>
  <c r="J294" i="1" a="1"/>
  <c r="I294" i="1"/>
  <c r="H294" i="1"/>
  <c r="K293" i="1"/>
  <c r="J293" i="1" a="1"/>
  <c r="J293" i="1" s="1"/>
  <c r="I293" i="1"/>
  <c r="H293" i="1"/>
  <c r="K292" i="1"/>
  <c r="J292" i="1" a="1"/>
  <c r="J292" i="1" s="1"/>
  <c r="I292" i="1"/>
  <c r="H292" i="1"/>
  <c r="K291" i="1"/>
  <c r="J291" i="1" a="1"/>
  <c r="J291" i="1" s="1"/>
  <c r="I291" i="1"/>
  <c r="H291" i="1"/>
  <c r="K290" i="1"/>
  <c r="J290" i="1" a="1"/>
  <c r="J290" i="1" s="1"/>
  <c r="I290" i="1"/>
  <c r="H290" i="1"/>
  <c r="K289" i="1"/>
  <c r="J289" i="1" a="1"/>
  <c r="J289" i="1" s="1"/>
  <c r="I289" i="1"/>
  <c r="H289" i="1"/>
  <c r="K288" i="1"/>
  <c r="J288" i="1"/>
  <c r="J288" i="1" a="1"/>
  <c r="I288" i="1"/>
  <c r="H288" i="1"/>
  <c r="K287" i="1"/>
  <c r="J287" i="1"/>
  <c r="J287" i="1" a="1"/>
  <c r="I287" i="1"/>
  <c r="H287" i="1"/>
  <c r="K286" i="1"/>
  <c r="J286" i="1"/>
  <c r="J286" i="1" a="1"/>
  <c r="I286" i="1"/>
  <c r="H286" i="1"/>
  <c r="K285" i="1"/>
  <c r="J285" i="1" a="1"/>
  <c r="J285" i="1" s="1"/>
  <c r="I285" i="1"/>
  <c r="H285" i="1"/>
  <c r="K284" i="1"/>
  <c r="J284" i="1" a="1"/>
  <c r="J284" i="1" s="1"/>
  <c r="I284" i="1"/>
  <c r="H284" i="1"/>
  <c r="K283" i="1"/>
  <c r="J283" i="1" a="1"/>
  <c r="J283" i="1" s="1"/>
  <c r="I283" i="1"/>
  <c r="H283" i="1"/>
  <c r="K282" i="1"/>
  <c r="J282" i="1" a="1"/>
  <c r="J282" i="1" s="1"/>
  <c r="I282" i="1"/>
  <c r="H282" i="1"/>
  <c r="K281" i="1"/>
  <c r="J281" i="1" a="1"/>
  <c r="J281" i="1" s="1"/>
  <c r="I281" i="1"/>
  <c r="H281" i="1"/>
  <c r="K280" i="1"/>
  <c r="J280" i="1" a="1"/>
  <c r="J280" i="1" s="1"/>
  <c r="I280" i="1"/>
  <c r="H280" i="1"/>
  <c r="K279" i="1"/>
  <c r="J279" i="1"/>
  <c r="J279" i="1" a="1"/>
  <c r="I279" i="1"/>
  <c r="H279" i="1"/>
  <c r="K278" i="1"/>
  <c r="J278" i="1"/>
  <c r="J278" i="1" a="1"/>
  <c r="I278" i="1"/>
  <c r="H278" i="1"/>
  <c r="K277" i="1"/>
  <c r="J277" i="1" a="1"/>
  <c r="J277" i="1" s="1"/>
  <c r="I277" i="1"/>
  <c r="H277" i="1"/>
  <c r="K276" i="1"/>
  <c r="J276" i="1" a="1"/>
  <c r="J276" i="1" s="1"/>
  <c r="I276" i="1"/>
  <c r="H276" i="1"/>
  <c r="K275" i="1"/>
  <c r="J275" i="1" a="1"/>
  <c r="J275" i="1" s="1"/>
  <c r="I275" i="1"/>
  <c r="H275" i="1"/>
  <c r="K274" i="1"/>
  <c r="J274" i="1" a="1"/>
  <c r="J274" i="1" s="1"/>
  <c r="I274" i="1"/>
  <c r="H274" i="1"/>
  <c r="K273" i="1"/>
  <c r="J273" i="1" a="1"/>
  <c r="J273" i="1" s="1"/>
  <c r="I273" i="1"/>
  <c r="H273" i="1"/>
  <c r="K272" i="1"/>
  <c r="J272" i="1"/>
  <c r="J272" i="1" a="1"/>
  <c r="I272" i="1"/>
  <c r="H272" i="1"/>
  <c r="K271" i="1"/>
  <c r="J271" i="1"/>
  <c r="J271" i="1" a="1"/>
  <c r="I271" i="1"/>
  <c r="H271" i="1"/>
  <c r="K270" i="1"/>
  <c r="J270" i="1"/>
  <c r="J270" i="1" a="1"/>
  <c r="I270" i="1"/>
  <c r="H270" i="1"/>
  <c r="K269" i="1"/>
  <c r="J269" i="1" a="1"/>
  <c r="J269" i="1" s="1"/>
  <c r="I269" i="1"/>
  <c r="H269" i="1"/>
  <c r="K268" i="1"/>
  <c r="J268" i="1"/>
  <c r="J268" i="1" a="1"/>
  <c r="I268" i="1"/>
  <c r="H268" i="1"/>
  <c r="K267" i="1"/>
  <c r="J267" i="1"/>
  <c r="J267" i="1" a="1"/>
  <c r="I267" i="1"/>
  <c r="H267" i="1"/>
  <c r="K266" i="1"/>
  <c r="J266" i="1" a="1"/>
  <c r="J266" i="1" s="1"/>
  <c r="I266" i="1"/>
  <c r="H266" i="1"/>
  <c r="K265" i="1"/>
  <c r="J265" i="1" a="1"/>
  <c r="J265" i="1" s="1"/>
  <c r="I265" i="1"/>
  <c r="H265" i="1"/>
  <c r="K264" i="1"/>
  <c r="J264" i="1" a="1"/>
  <c r="J264" i="1" s="1"/>
  <c r="I264" i="1"/>
  <c r="H264" i="1"/>
  <c r="K263" i="1"/>
  <c r="J263" i="1"/>
  <c r="J263" i="1" a="1"/>
  <c r="I263" i="1"/>
  <c r="H263" i="1"/>
  <c r="K262" i="1"/>
  <c r="J262" i="1"/>
  <c r="J262" i="1" a="1"/>
  <c r="I262" i="1"/>
  <c r="H262" i="1"/>
  <c r="K261" i="1"/>
  <c r="J261" i="1" a="1"/>
  <c r="J261" i="1" s="1"/>
  <c r="I261" i="1"/>
  <c r="H261" i="1"/>
  <c r="K260" i="1"/>
  <c r="J260" i="1"/>
  <c r="J260" i="1" a="1"/>
  <c r="I260" i="1"/>
  <c r="H260" i="1"/>
  <c r="K259" i="1"/>
  <c r="J259" i="1" a="1"/>
  <c r="J259" i="1" s="1"/>
  <c r="I259" i="1"/>
  <c r="H259" i="1"/>
  <c r="K258" i="1"/>
  <c r="J258" i="1" a="1"/>
  <c r="J258" i="1" s="1"/>
  <c r="I258" i="1"/>
  <c r="H258" i="1"/>
  <c r="K257" i="1"/>
  <c r="J257" i="1" a="1"/>
  <c r="J257" i="1" s="1"/>
  <c r="I257" i="1"/>
  <c r="H257" i="1"/>
  <c r="K256" i="1"/>
  <c r="J256" i="1"/>
  <c r="J256" i="1" a="1"/>
  <c r="I256" i="1"/>
  <c r="H256" i="1"/>
  <c r="K255" i="1"/>
  <c r="J255" i="1"/>
  <c r="J255" i="1" a="1"/>
  <c r="I255" i="1"/>
  <c r="H255" i="1"/>
  <c r="K254" i="1"/>
  <c r="J254" i="1"/>
  <c r="J254" i="1" a="1"/>
  <c r="I254" i="1"/>
  <c r="H254" i="1"/>
  <c r="K253" i="1"/>
  <c r="J253" i="1" a="1"/>
  <c r="J253" i="1" s="1"/>
  <c r="I253" i="1"/>
  <c r="H253" i="1"/>
  <c r="K252" i="1"/>
  <c r="J252" i="1"/>
  <c r="J252" i="1" a="1"/>
  <c r="I252" i="1"/>
  <c r="H252" i="1"/>
  <c r="K251" i="1"/>
  <c r="J251" i="1"/>
  <c r="J251" i="1" a="1"/>
  <c r="I251" i="1"/>
  <c r="H251" i="1"/>
  <c r="K250" i="1"/>
  <c r="J250" i="1" a="1"/>
  <c r="J250" i="1" s="1"/>
  <c r="I250" i="1"/>
  <c r="H250" i="1"/>
  <c r="K249" i="1"/>
  <c r="J249" i="1" a="1"/>
  <c r="J249" i="1" s="1"/>
  <c r="I249" i="1"/>
  <c r="H249" i="1"/>
  <c r="K248" i="1"/>
  <c r="J248" i="1" a="1"/>
  <c r="J248" i="1" s="1"/>
  <c r="I248" i="1"/>
  <c r="H248" i="1"/>
  <c r="K247" i="1"/>
  <c r="J247" i="1"/>
  <c r="J247" i="1" a="1"/>
  <c r="I247" i="1"/>
  <c r="H247" i="1"/>
  <c r="K246" i="1"/>
  <c r="J246" i="1"/>
  <c r="J246" i="1" a="1"/>
  <c r="I246" i="1"/>
  <c r="H246" i="1"/>
  <c r="K245" i="1"/>
  <c r="J245" i="1" a="1"/>
  <c r="J245" i="1" s="1"/>
  <c r="I245" i="1"/>
  <c r="H245" i="1"/>
  <c r="K244" i="1"/>
  <c r="J244" i="1"/>
  <c r="J244" i="1" a="1"/>
  <c r="I244" i="1"/>
  <c r="H244" i="1"/>
  <c r="K243" i="1"/>
  <c r="J243" i="1" a="1"/>
  <c r="J243" i="1" s="1"/>
  <c r="I243" i="1"/>
  <c r="H243" i="1"/>
  <c r="K242" i="1"/>
  <c r="J242" i="1" a="1"/>
  <c r="J242" i="1" s="1"/>
  <c r="I242" i="1"/>
  <c r="H242" i="1"/>
  <c r="K241" i="1"/>
  <c r="J241" i="1" a="1"/>
  <c r="J241" i="1" s="1"/>
  <c r="I241" i="1"/>
  <c r="H241" i="1"/>
  <c r="K240" i="1"/>
  <c r="J240" i="1" a="1"/>
  <c r="J240" i="1" s="1"/>
  <c r="I240" i="1"/>
  <c r="H240" i="1"/>
  <c r="K239" i="1"/>
  <c r="J239" i="1"/>
  <c r="J239" i="1" a="1"/>
  <c r="I239" i="1"/>
  <c r="H239" i="1"/>
  <c r="K238" i="1"/>
  <c r="J238" i="1"/>
  <c r="J238" i="1" a="1"/>
  <c r="I238" i="1"/>
  <c r="H238" i="1"/>
  <c r="K237" i="1"/>
  <c r="J237" i="1" a="1"/>
  <c r="J237" i="1" s="1"/>
  <c r="I237" i="1"/>
  <c r="H237" i="1"/>
  <c r="K236" i="1"/>
  <c r="J236" i="1"/>
  <c r="J236" i="1" a="1"/>
  <c r="I236" i="1"/>
  <c r="H236" i="1"/>
  <c r="K235" i="1"/>
  <c r="J235" i="1" a="1"/>
  <c r="J235" i="1" s="1"/>
  <c r="I235" i="1"/>
  <c r="H235" i="1"/>
  <c r="K234" i="1"/>
  <c r="J234" i="1" a="1"/>
  <c r="J234" i="1" s="1"/>
  <c r="I234" i="1"/>
  <c r="H234" i="1"/>
  <c r="K233" i="1"/>
  <c r="J233" i="1" a="1"/>
  <c r="J233" i="1" s="1"/>
  <c r="I233" i="1"/>
  <c r="H233" i="1"/>
  <c r="K232" i="1"/>
  <c r="J232" i="1" a="1"/>
  <c r="J232" i="1" s="1"/>
  <c r="I232" i="1"/>
  <c r="H232" i="1"/>
  <c r="K231" i="1"/>
  <c r="J231" i="1"/>
  <c r="J231" i="1" a="1"/>
  <c r="I231" i="1"/>
  <c r="H231" i="1"/>
  <c r="K230" i="1"/>
  <c r="J230" i="1"/>
  <c r="J230" i="1" a="1"/>
  <c r="I230" i="1"/>
  <c r="H230" i="1"/>
  <c r="K229" i="1"/>
  <c r="J229" i="1" a="1"/>
  <c r="J229" i="1" s="1"/>
  <c r="I229" i="1"/>
  <c r="H229" i="1"/>
  <c r="K228" i="1"/>
  <c r="J228" i="1"/>
  <c r="J228" i="1" a="1"/>
  <c r="I228" i="1"/>
  <c r="H228" i="1"/>
  <c r="K227" i="1"/>
  <c r="J227" i="1" a="1"/>
  <c r="J227" i="1" s="1"/>
  <c r="I227" i="1"/>
  <c r="H227" i="1"/>
  <c r="K226" i="1"/>
  <c r="J226" i="1" a="1"/>
  <c r="J226" i="1" s="1"/>
  <c r="I226" i="1"/>
  <c r="H226" i="1"/>
  <c r="K225" i="1"/>
  <c r="J225" i="1" a="1"/>
  <c r="J225" i="1" s="1"/>
  <c r="I225" i="1"/>
  <c r="H225" i="1"/>
  <c r="K224" i="1"/>
  <c r="J224" i="1" a="1"/>
  <c r="J224" i="1" s="1"/>
  <c r="I224" i="1"/>
  <c r="H224" i="1"/>
  <c r="K223" i="1"/>
  <c r="J223" i="1" a="1"/>
  <c r="J223" i="1" s="1"/>
  <c r="I223" i="1"/>
  <c r="H223" i="1"/>
  <c r="K222" i="1"/>
  <c r="J222" i="1"/>
  <c r="J222" i="1" a="1"/>
  <c r="I222" i="1"/>
  <c r="H222" i="1"/>
  <c r="K221" i="1"/>
  <c r="J221" i="1" a="1"/>
  <c r="J221" i="1" s="1"/>
  <c r="I221" i="1"/>
  <c r="H221" i="1"/>
  <c r="K220" i="1"/>
  <c r="J220" i="1"/>
  <c r="J220" i="1" a="1"/>
  <c r="I220" i="1"/>
  <c r="H220" i="1"/>
  <c r="K219" i="1"/>
  <c r="J219" i="1" a="1"/>
  <c r="J219" i="1" s="1"/>
  <c r="I219" i="1"/>
  <c r="H219" i="1"/>
  <c r="K218" i="1"/>
  <c r="J218" i="1" a="1"/>
  <c r="J218" i="1" s="1"/>
  <c r="I218" i="1"/>
  <c r="H218" i="1"/>
  <c r="K217" i="1"/>
  <c r="J217" i="1" a="1"/>
  <c r="J217" i="1" s="1"/>
  <c r="I217" i="1"/>
  <c r="H217" i="1"/>
  <c r="K216" i="1"/>
  <c r="J216" i="1"/>
  <c r="J216" i="1" a="1"/>
  <c r="I216" i="1"/>
  <c r="H216" i="1"/>
  <c r="K215" i="1"/>
  <c r="J215" i="1" a="1"/>
  <c r="J215" i="1" s="1"/>
  <c r="I215" i="1"/>
  <c r="H215" i="1"/>
  <c r="K214" i="1"/>
  <c r="J214" i="1"/>
  <c r="J214" i="1" a="1"/>
  <c r="I214" i="1"/>
  <c r="H214" i="1"/>
  <c r="K213" i="1"/>
  <c r="J213" i="1" a="1"/>
  <c r="J213" i="1" s="1"/>
  <c r="I213" i="1"/>
  <c r="H213" i="1"/>
  <c r="K212" i="1"/>
  <c r="J212" i="1"/>
  <c r="J212" i="1" a="1"/>
  <c r="I212" i="1"/>
  <c r="H212" i="1"/>
  <c r="K211" i="1"/>
  <c r="J211" i="1" a="1"/>
  <c r="J211" i="1" s="1"/>
  <c r="I211" i="1"/>
  <c r="H211" i="1"/>
  <c r="K210" i="1"/>
  <c r="J210" i="1" a="1"/>
  <c r="J210" i="1" s="1"/>
  <c r="I210" i="1"/>
  <c r="H210" i="1"/>
  <c r="K209" i="1"/>
  <c r="J209" i="1" a="1"/>
  <c r="J209" i="1" s="1"/>
  <c r="I209" i="1"/>
  <c r="H209" i="1"/>
  <c r="K208" i="1"/>
  <c r="J208" i="1" a="1"/>
  <c r="J208" i="1" s="1"/>
  <c r="I208" i="1"/>
  <c r="H208" i="1"/>
  <c r="K207" i="1"/>
  <c r="J207" i="1" a="1"/>
  <c r="J207" i="1" s="1"/>
  <c r="I207" i="1"/>
  <c r="H207" i="1"/>
  <c r="K206" i="1"/>
  <c r="J206" i="1"/>
  <c r="J206" i="1" a="1"/>
  <c r="I206" i="1"/>
  <c r="H206" i="1"/>
  <c r="K205" i="1"/>
  <c r="J205" i="1" a="1"/>
  <c r="J205" i="1" s="1"/>
  <c r="I205" i="1"/>
  <c r="H205" i="1"/>
  <c r="K204" i="1"/>
  <c r="J204" i="1"/>
  <c r="J204" i="1" a="1"/>
  <c r="I204" i="1"/>
  <c r="H204" i="1"/>
  <c r="K203" i="1"/>
  <c r="J203" i="1" a="1"/>
  <c r="J203" i="1" s="1"/>
  <c r="I203" i="1"/>
  <c r="H203" i="1"/>
  <c r="K202" i="1"/>
  <c r="J202" i="1" a="1"/>
  <c r="J202" i="1" s="1"/>
  <c r="I202" i="1"/>
  <c r="H202" i="1"/>
  <c r="K201" i="1"/>
  <c r="J201" i="1" a="1"/>
  <c r="J201" i="1" s="1"/>
  <c r="I201" i="1"/>
  <c r="H201" i="1"/>
  <c r="K200" i="1"/>
  <c r="J200" i="1"/>
  <c r="J200" i="1" a="1"/>
  <c r="I200" i="1"/>
  <c r="H200" i="1"/>
  <c r="K199" i="1"/>
  <c r="J199" i="1" a="1"/>
  <c r="J199" i="1" s="1"/>
  <c r="I199" i="1"/>
  <c r="H199" i="1"/>
  <c r="K198" i="1"/>
  <c r="J198" i="1"/>
  <c r="J198" i="1" a="1"/>
  <c r="I198" i="1"/>
  <c r="H198" i="1"/>
  <c r="K197" i="1"/>
  <c r="J197" i="1" a="1"/>
  <c r="J197" i="1" s="1"/>
  <c r="I197" i="1"/>
  <c r="H197" i="1"/>
  <c r="K196" i="1"/>
  <c r="J196" i="1"/>
  <c r="J196" i="1" a="1"/>
  <c r="I196" i="1"/>
  <c r="H196" i="1"/>
  <c r="K195" i="1"/>
  <c r="J195" i="1" a="1"/>
  <c r="J195" i="1" s="1"/>
  <c r="I195" i="1"/>
  <c r="H195" i="1"/>
  <c r="K194" i="1"/>
  <c r="J194" i="1" a="1"/>
  <c r="J194" i="1" s="1"/>
  <c r="I194" i="1"/>
  <c r="H194" i="1"/>
  <c r="K193" i="1"/>
  <c r="J193" i="1" a="1"/>
  <c r="J193" i="1" s="1"/>
  <c r="I193" i="1"/>
  <c r="H193" i="1"/>
  <c r="K192" i="1"/>
  <c r="J192" i="1" a="1"/>
  <c r="J192" i="1" s="1"/>
  <c r="I192" i="1"/>
  <c r="H192" i="1"/>
  <c r="K191" i="1"/>
  <c r="J191" i="1" a="1"/>
  <c r="J191" i="1" s="1"/>
  <c r="I191" i="1"/>
  <c r="H191" i="1"/>
  <c r="K190" i="1"/>
  <c r="J190" i="1"/>
  <c r="J190" i="1" a="1"/>
  <c r="I190" i="1"/>
  <c r="H190" i="1"/>
  <c r="K189" i="1"/>
  <c r="J189" i="1" a="1"/>
  <c r="J189" i="1" s="1"/>
  <c r="I189" i="1"/>
  <c r="H189" i="1"/>
  <c r="K188" i="1"/>
  <c r="J188" i="1"/>
  <c r="J188" i="1" a="1"/>
  <c r="I188" i="1"/>
  <c r="H188" i="1"/>
  <c r="K187" i="1"/>
  <c r="J187" i="1" a="1"/>
  <c r="J187" i="1" s="1"/>
  <c r="I187" i="1"/>
  <c r="H187" i="1"/>
  <c r="K186" i="1"/>
  <c r="J186" i="1" a="1"/>
  <c r="J186" i="1" s="1"/>
  <c r="I186" i="1"/>
  <c r="H186" i="1"/>
  <c r="K185" i="1"/>
  <c r="J185" i="1" a="1"/>
  <c r="J185" i="1" s="1"/>
  <c r="I185" i="1"/>
  <c r="H185" i="1"/>
  <c r="K184" i="1"/>
  <c r="J184" i="1"/>
  <c r="J184" i="1" a="1"/>
  <c r="I184" i="1"/>
  <c r="H184" i="1"/>
  <c r="K183" i="1"/>
  <c r="J183" i="1" a="1"/>
  <c r="J183" i="1" s="1"/>
  <c r="I183" i="1"/>
  <c r="H183" i="1"/>
  <c r="K182" i="1"/>
  <c r="J182" i="1"/>
  <c r="J182" i="1" a="1"/>
  <c r="I182" i="1"/>
  <c r="H182" i="1"/>
  <c r="K181" i="1"/>
  <c r="J181" i="1" a="1"/>
  <c r="J181" i="1" s="1"/>
  <c r="I181" i="1"/>
  <c r="H181" i="1"/>
  <c r="K180" i="1"/>
  <c r="J180" i="1"/>
  <c r="J180" i="1" a="1"/>
  <c r="I180" i="1"/>
  <c r="H180" i="1"/>
  <c r="K179" i="1"/>
  <c r="J179" i="1" a="1"/>
  <c r="J179" i="1" s="1"/>
  <c r="I179" i="1"/>
  <c r="H179" i="1"/>
  <c r="K178" i="1"/>
  <c r="J178" i="1" a="1"/>
  <c r="J178" i="1" s="1"/>
  <c r="I178" i="1"/>
  <c r="H178" i="1"/>
  <c r="K177" i="1"/>
  <c r="J177" i="1" a="1"/>
  <c r="J177" i="1" s="1"/>
  <c r="I177" i="1"/>
  <c r="H177" i="1"/>
  <c r="K176" i="1"/>
  <c r="J176" i="1" a="1"/>
  <c r="J176" i="1" s="1"/>
  <c r="I176" i="1"/>
  <c r="H176" i="1"/>
  <c r="K175" i="1"/>
  <c r="J175" i="1" a="1"/>
  <c r="J175" i="1" s="1"/>
  <c r="I175" i="1"/>
  <c r="H175" i="1"/>
  <c r="K174" i="1"/>
  <c r="J174" i="1"/>
  <c r="J174" i="1" a="1"/>
  <c r="I174" i="1"/>
  <c r="H174" i="1"/>
  <c r="K173" i="1"/>
  <c r="J173" i="1" a="1"/>
  <c r="J173" i="1" s="1"/>
  <c r="I173" i="1"/>
  <c r="H173" i="1"/>
  <c r="K172" i="1"/>
  <c r="J172" i="1"/>
  <c r="J172" i="1" a="1"/>
  <c r="I172" i="1"/>
  <c r="H172" i="1"/>
  <c r="K171" i="1"/>
  <c r="J171" i="1" a="1"/>
  <c r="J171" i="1" s="1"/>
  <c r="I171" i="1"/>
  <c r="H171" i="1"/>
  <c r="K170" i="1"/>
  <c r="J170" i="1" a="1"/>
  <c r="J170" i="1" s="1"/>
  <c r="I170" i="1"/>
  <c r="H170" i="1"/>
  <c r="K169" i="1"/>
  <c r="J169" i="1" a="1"/>
  <c r="J169" i="1" s="1"/>
  <c r="I169" i="1"/>
  <c r="H169" i="1"/>
  <c r="K168" i="1"/>
  <c r="J168" i="1"/>
  <c r="J168" i="1" a="1"/>
  <c r="I168" i="1"/>
  <c r="H168" i="1"/>
  <c r="K167" i="1"/>
  <c r="J167" i="1" a="1"/>
  <c r="J167" i="1" s="1"/>
  <c r="I167" i="1"/>
  <c r="H167" i="1"/>
  <c r="K166" i="1"/>
  <c r="J166" i="1"/>
  <c r="J166" i="1" a="1"/>
  <c r="I166" i="1"/>
  <c r="H166" i="1"/>
  <c r="K165" i="1"/>
  <c r="J165" i="1" a="1"/>
  <c r="J165" i="1" s="1"/>
  <c r="I165" i="1"/>
  <c r="H165" i="1"/>
  <c r="K164" i="1"/>
  <c r="J164" i="1"/>
  <c r="J164" i="1" a="1"/>
  <c r="I164" i="1"/>
  <c r="H164" i="1"/>
  <c r="K163" i="1"/>
  <c r="J163" i="1" a="1"/>
  <c r="J163" i="1" s="1"/>
  <c r="I163" i="1"/>
  <c r="H163" i="1"/>
  <c r="K162" i="1"/>
  <c r="J162" i="1" a="1"/>
  <c r="J162" i="1" s="1"/>
  <c r="I162" i="1"/>
  <c r="H162" i="1"/>
  <c r="K161" i="1"/>
  <c r="J161" i="1" a="1"/>
  <c r="J161" i="1" s="1"/>
  <c r="I161" i="1"/>
  <c r="H161" i="1"/>
  <c r="K160" i="1"/>
  <c r="J160" i="1" a="1"/>
  <c r="J160" i="1" s="1"/>
  <c r="I160" i="1"/>
  <c r="H160" i="1"/>
  <c r="K159" i="1"/>
  <c r="J159" i="1" a="1"/>
  <c r="J159" i="1" s="1"/>
  <c r="I159" i="1"/>
  <c r="H159" i="1"/>
  <c r="K158" i="1"/>
  <c r="J158" i="1"/>
  <c r="J158" i="1" a="1"/>
  <c r="I158" i="1"/>
  <c r="H158" i="1"/>
  <c r="K157" i="1"/>
  <c r="J157" i="1" a="1"/>
  <c r="J157" i="1" s="1"/>
  <c r="I157" i="1"/>
  <c r="H157" i="1"/>
  <c r="K156" i="1"/>
  <c r="J156" i="1"/>
  <c r="J156" i="1" a="1"/>
  <c r="I156" i="1"/>
  <c r="H156" i="1"/>
  <c r="K155" i="1"/>
  <c r="J155" i="1" a="1"/>
  <c r="J155" i="1" s="1"/>
  <c r="I155" i="1"/>
  <c r="H155" i="1"/>
  <c r="K154" i="1"/>
  <c r="J154" i="1" a="1"/>
  <c r="J154" i="1" s="1"/>
  <c r="I154" i="1"/>
  <c r="H154" i="1"/>
  <c r="K153" i="1"/>
  <c r="J153" i="1" a="1"/>
  <c r="J153" i="1" s="1"/>
  <c r="I153" i="1"/>
  <c r="H153" i="1"/>
  <c r="K152" i="1"/>
  <c r="J152" i="1"/>
  <c r="J152" i="1" a="1"/>
  <c r="I152" i="1"/>
  <c r="H152" i="1"/>
  <c r="K151" i="1"/>
  <c r="J151" i="1" a="1"/>
  <c r="J151" i="1" s="1"/>
  <c r="I151" i="1"/>
  <c r="H151" i="1"/>
  <c r="K150" i="1"/>
  <c r="J150" i="1"/>
  <c r="J150" i="1" a="1"/>
  <c r="I150" i="1"/>
  <c r="H150" i="1"/>
  <c r="K149" i="1"/>
  <c r="J149" i="1" a="1"/>
  <c r="J149" i="1" s="1"/>
  <c r="I149" i="1"/>
  <c r="H149" i="1"/>
  <c r="K148" i="1"/>
  <c r="J148" i="1"/>
  <c r="J148" i="1" a="1"/>
  <c r="I148" i="1"/>
  <c r="H148" i="1"/>
  <c r="K147" i="1"/>
  <c r="J147" i="1" a="1"/>
  <c r="J147" i="1" s="1"/>
  <c r="I147" i="1"/>
  <c r="H147" i="1"/>
  <c r="K146" i="1"/>
  <c r="J146" i="1" a="1"/>
  <c r="J146" i="1" s="1"/>
  <c r="I146" i="1"/>
  <c r="H146" i="1"/>
  <c r="K145" i="1"/>
  <c r="J145" i="1" a="1"/>
  <c r="J145" i="1" s="1"/>
  <c r="I145" i="1"/>
  <c r="H145" i="1"/>
  <c r="K144" i="1"/>
  <c r="J144" i="1" a="1"/>
  <c r="J144" i="1" s="1"/>
  <c r="I144" i="1"/>
  <c r="H144" i="1"/>
  <c r="K143" i="1"/>
  <c r="J143" i="1" a="1"/>
  <c r="J143" i="1" s="1"/>
  <c r="I143" i="1"/>
  <c r="H143" i="1"/>
  <c r="K142" i="1"/>
  <c r="J142" i="1"/>
  <c r="J142" i="1" a="1"/>
  <c r="I142" i="1"/>
  <c r="H142" i="1"/>
  <c r="K141" i="1"/>
  <c r="J141" i="1" a="1"/>
  <c r="J141" i="1" s="1"/>
  <c r="I141" i="1"/>
  <c r="H141" i="1"/>
  <c r="K140" i="1"/>
  <c r="J140" i="1"/>
  <c r="J140" i="1" a="1"/>
  <c r="I140" i="1"/>
  <c r="H140" i="1"/>
  <c r="K139" i="1"/>
  <c r="J139" i="1" a="1"/>
  <c r="J139" i="1" s="1"/>
  <c r="I139" i="1"/>
  <c r="H139" i="1"/>
  <c r="K138" i="1"/>
  <c r="J138" i="1" a="1"/>
  <c r="J138" i="1" s="1"/>
  <c r="I138" i="1"/>
  <c r="H138" i="1"/>
  <c r="K137" i="1"/>
  <c r="J137" i="1" a="1"/>
  <c r="J137" i="1" s="1"/>
  <c r="I137" i="1"/>
  <c r="H137" i="1"/>
  <c r="K136" i="1"/>
  <c r="J136" i="1"/>
  <c r="J136" i="1" a="1"/>
  <c r="I136" i="1"/>
  <c r="H136" i="1"/>
  <c r="K135" i="1"/>
  <c r="J135" i="1" a="1"/>
  <c r="J135" i="1" s="1"/>
  <c r="I135" i="1"/>
  <c r="H135" i="1"/>
  <c r="K134" i="1"/>
  <c r="J134" i="1"/>
  <c r="J134" i="1" a="1"/>
  <c r="I134" i="1"/>
  <c r="H134" i="1"/>
  <c r="K133" i="1"/>
  <c r="J133" i="1" a="1"/>
  <c r="J133" i="1" s="1"/>
  <c r="I133" i="1"/>
  <c r="H133" i="1"/>
  <c r="K132" i="1"/>
  <c r="J132" i="1"/>
  <c r="J132" i="1" a="1"/>
  <c r="I132" i="1"/>
  <c r="H132" i="1"/>
  <c r="K131" i="1"/>
  <c r="J131" i="1" a="1"/>
  <c r="J131" i="1" s="1"/>
  <c r="I131" i="1"/>
  <c r="H131" i="1"/>
  <c r="K130" i="1"/>
  <c r="J130" i="1" a="1"/>
  <c r="J130" i="1" s="1"/>
  <c r="I130" i="1"/>
  <c r="H130" i="1"/>
  <c r="K129" i="1"/>
  <c r="J129" i="1" a="1"/>
  <c r="J129" i="1" s="1"/>
  <c r="I129" i="1"/>
  <c r="H129" i="1"/>
  <c r="K128" i="1"/>
  <c r="J128" i="1" a="1"/>
  <c r="J128" i="1" s="1"/>
  <c r="I128" i="1"/>
  <c r="H128" i="1"/>
  <c r="K127" i="1"/>
  <c r="J127" i="1" a="1"/>
  <c r="J127" i="1" s="1"/>
  <c r="I127" i="1"/>
  <c r="H127" i="1"/>
  <c r="K126" i="1"/>
  <c r="J126" i="1"/>
  <c r="J126" i="1" a="1"/>
  <c r="I126" i="1"/>
  <c r="H126" i="1"/>
  <c r="K125" i="1"/>
  <c r="J125" i="1" a="1"/>
  <c r="J125" i="1" s="1"/>
  <c r="I125" i="1"/>
  <c r="H125" i="1"/>
  <c r="K124" i="1"/>
  <c r="J124" i="1"/>
  <c r="J124" i="1" a="1"/>
  <c r="I124" i="1"/>
  <c r="H124" i="1"/>
  <c r="K123" i="1"/>
  <c r="J123" i="1" a="1"/>
  <c r="J123" i="1" s="1"/>
  <c r="I123" i="1"/>
  <c r="H123" i="1"/>
  <c r="K122" i="1"/>
  <c r="J122" i="1" a="1"/>
  <c r="J122" i="1" s="1"/>
  <c r="I122" i="1"/>
  <c r="H122" i="1"/>
  <c r="K121" i="1"/>
  <c r="J121" i="1" a="1"/>
  <c r="J121" i="1" s="1"/>
  <c r="I121" i="1"/>
  <c r="H121" i="1"/>
  <c r="K120" i="1"/>
  <c r="J120" i="1"/>
  <c r="J120" i="1" a="1"/>
  <c r="I120" i="1"/>
  <c r="H120" i="1"/>
  <c r="K119" i="1"/>
  <c r="J119" i="1" a="1"/>
  <c r="J119" i="1" s="1"/>
  <c r="I119" i="1"/>
  <c r="H119" i="1"/>
  <c r="K118" i="1"/>
  <c r="J118" i="1"/>
  <c r="J118" i="1" a="1"/>
  <c r="I118" i="1"/>
  <c r="H118" i="1"/>
  <c r="K117" i="1"/>
  <c r="J117" i="1" a="1"/>
  <c r="J117" i="1" s="1"/>
  <c r="I117" i="1"/>
  <c r="H117" i="1"/>
  <c r="K116" i="1"/>
  <c r="J116" i="1"/>
  <c r="J116" i="1" a="1"/>
  <c r="I116" i="1"/>
  <c r="H116" i="1"/>
  <c r="K115" i="1"/>
  <c r="J115" i="1" a="1"/>
  <c r="J115" i="1" s="1"/>
  <c r="I115" i="1"/>
  <c r="H115" i="1"/>
  <c r="K114" i="1"/>
  <c r="J114" i="1" a="1"/>
  <c r="J114" i="1" s="1"/>
  <c r="I114" i="1"/>
  <c r="H114" i="1"/>
  <c r="K113" i="1"/>
  <c r="J113" i="1" a="1"/>
  <c r="J113" i="1" s="1"/>
  <c r="I113" i="1"/>
  <c r="H113" i="1"/>
  <c r="K112" i="1"/>
  <c r="J112" i="1" a="1"/>
  <c r="J112" i="1" s="1"/>
  <c r="I112" i="1"/>
  <c r="H112" i="1"/>
  <c r="K111" i="1"/>
  <c r="J111" i="1" a="1"/>
  <c r="J111" i="1" s="1"/>
  <c r="I111" i="1"/>
  <c r="H111" i="1"/>
  <c r="K110" i="1"/>
  <c r="J110" i="1"/>
  <c r="J110" i="1" a="1"/>
  <c r="I110" i="1"/>
  <c r="H110" i="1"/>
  <c r="K109" i="1"/>
  <c r="J109" i="1" a="1"/>
  <c r="J109" i="1" s="1"/>
  <c r="I109" i="1"/>
  <c r="H109" i="1"/>
  <c r="K108" i="1"/>
  <c r="J108" i="1"/>
  <c r="J108" i="1" a="1"/>
  <c r="I108" i="1"/>
  <c r="H108" i="1"/>
  <c r="K107" i="1"/>
  <c r="J107" i="1" a="1"/>
  <c r="J107" i="1" s="1"/>
  <c r="I107" i="1"/>
  <c r="H107" i="1"/>
  <c r="K106" i="1"/>
  <c r="J106" i="1" a="1"/>
  <c r="J106" i="1" s="1"/>
  <c r="I106" i="1"/>
  <c r="H106" i="1"/>
  <c r="K105" i="1"/>
  <c r="J105" i="1" a="1"/>
  <c r="J105" i="1" s="1"/>
  <c r="I105" i="1"/>
  <c r="H105" i="1"/>
  <c r="K104" i="1"/>
  <c r="J104" i="1"/>
  <c r="J104" i="1" a="1"/>
  <c r="I104" i="1"/>
  <c r="H104" i="1"/>
  <c r="K103" i="1"/>
  <c r="J103" i="1" a="1"/>
  <c r="J103" i="1" s="1"/>
  <c r="I103" i="1"/>
  <c r="H103" i="1"/>
  <c r="K102" i="1"/>
  <c r="J102" i="1"/>
  <c r="J102" i="1" a="1"/>
  <c r="I102" i="1"/>
  <c r="H102" i="1"/>
  <c r="K101" i="1"/>
  <c r="J101" i="1" a="1"/>
  <c r="J101" i="1" s="1"/>
  <c r="I101" i="1"/>
  <c r="H101" i="1"/>
  <c r="K100" i="1"/>
  <c r="J100" i="1"/>
  <c r="J100" i="1" a="1"/>
  <c r="I100" i="1"/>
  <c r="H100" i="1"/>
  <c r="K99" i="1"/>
  <c r="J99" i="1" a="1"/>
  <c r="J99" i="1" s="1"/>
  <c r="I99" i="1"/>
  <c r="H99" i="1"/>
  <c r="K98" i="1"/>
  <c r="J98" i="1" a="1"/>
  <c r="J98" i="1" s="1"/>
  <c r="I98" i="1"/>
  <c r="H98" i="1"/>
  <c r="K97" i="1"/>
  <c r="J97" i="1" a="1"/>
  <c r="J97" i="1" s="1"/>
  <c r="I97" i="1"/>
  <c r="H97" i="1"/>
  <c r="K96" i="1"/>
  <c r="J96" i="1" a="1"/>
  <c r="J96" i="1" s="1"/>
  <c r="I96" i="1"/>
  <c r="H96" i="1"/>
  <c r="K95" i="1"/>
  <c r="J95" i="1" a="1"/>
  <c r="J95" i="1" s="1"/>
  <c r="I95" i="1"/>
  <c r="H95" i="1"/>
  <c r="K94" i="1"/>
  <c r="J94" i="1"/>
  <c r="J94" i="1" a="1"/>
  <c r="I94" i="1"/>
  <c r="H94" i="1"/>
  <c r="K93" i="1"/>
  <c r="J93" i="1" a="1"/>
  <c r="J93" i="1" s="1"/>
  <c r="I93" i="1"/>
  <c r="H93" i="1"/>
  <c r="K92" i="1"/>
  <c r="J92" i="1"/>
  <c r="J92" i="1" a="1"/>
  <c r="I92" i="1"/>
  <c r="H92" i="1"/>
  <c r="K91" i="1"/>
  <c r="J91" i="1" a="1"/>
  <c r="J91" i="1" s="1"/>
  <c r="I91" i="1"/>
  <c r="H91" i="1"/>
  <c r="K90" i="1"/>
  <c r="J90" i="1" a="1"/>
  <c r="J90" i="1" s="1"/>
  <c r="I90" i="1"/>
  <c r="H90" i="1"/>
  <c r="K89" i="1"/>
  <c r="J89" i="1" a="1"/>
  <c r="J89" i="1" s="1"/>
  <c r="I89" i="1"/>
  <c r="H89" i="1"/>
  <c r="K88" i="1"/>
  <c r="J88" i="1"/>
  <c r="J88" i="1" a="1"/>
  <c r="I88" i="1"/>
  <c r="H88" i="1"/>
  <c r="K87" i="1"/>
  <c r="J87" i="1" a="1"/>
  <c r="J87" i="1" s="1"/>
  <c r="I87" i="1"/>
  <c r="H87" i="1"/>
  <c r="K86" i="1"/>
  <c r="J86" i="1"/>
  <c r="J86" i="1" a="1"/>
  <c r="I86" i="1"/>
  <c r="H86" i="1"/>
  <c r="K85" i="1"/>
  <c r="J85" i="1" a="1"/>
  <c r="J85" i="1" s="1"/>
  <c r="I85" i="1"/>
  <c r="H85" i="1"/>
  <c r="K84" i="1"/>
  <c r="J84" i="1"/>
  <c r="J84" i="1" a="1"/>
  <c r="I84" i="1"/>
  <c r="H84" i="1"/>
  <c r="K83" i="1"/>
  <c r="J83" i="1" a="1"/>
  <c r="J83" i="1" s="1"/>
  <c r="I83" i="1"/>
  <c r="H83" i="1"/>
  <c r="K82" i="1"/>
  <c r="J82" i="1" a="1"/>
  <c r="J82" i="1" s="1"/>
  <c r="I82" i="1"/>
  <c r="H82" i="1"/>
  <c r="K81" i="1"/>
  <c r="J81" i="1" a="1"/>
  <c r="J81" i="1" s="1"/>
  <c r="I81" i="1"/>
  <c r="H81" i="1"/>
  <c r="K80" i="1"/>
  <c r="J80" i="1" a="1"/>
  <c r="J80" i="1" s="1"/>
  <c r="I80" i="1"/>
  <c r="H80" i="1"/>
  <c r="K79" i="1"/>
  <c r="J79" i="1" a="1"/>
  <c r="J79" i="1" s="1"/>
  <c r="I79" i="1"/>
  <c r="H79" i="1"/>
  <c r="K78" i="1"/>
  <c r="J78" i="1"/>
  <c r="J78" i="1" a="1"/>
  <c r="I78" i="1"/>
  <c r="H78" i="1"/>
  <c r="K77" i="1"/>
  <c r="J77" i="1" a="1"/>
  <c r="J77" i="1" s="1"/>
  <c r="I77" i="1"/>
  <c r="H77" i="1"/>
  <c r="K76" i="1"/>
  <c r="J76" i="1"/>
  <c r="J76" i="1" a="1"/>
  <c r="I76" i="1"/>
  <c r="H76" i="1"/>
  <c r="K75" i="1"/>
  <c r="J75" i="1" a="1"/>
  <c r="J75" i="1" s="1"/>
  <c r="I75" i="1"/>
  <c r="H75" i="1"/>
  <c r="K74" i="1"/>
  <c r="J74" i="1" a="1"/>
  <c r="J74" i="1" s="1"/>
  <c r="I74" i="1"/>
  <c r="H74" i="1"/>
  <c r="K73" i="1"/>
  <c r="J73" i="1" a="1"/>
  <c r="J73" i="1" s="1"/>
  <c r="I73" i="1"/>
  <c r="H73" i="1"/>
  <c r="K72" i="1"/>
  <c r="J72" i="1"/>
  <c r="J72" i="1" a="1"/>
  <c r="I72" i="1"/>
  <c r="H72" i="1"/>
  <c r="K71" i="1"/>
  <c r="J71" i="1" a="1"/>
  <c r="J71" i="1" s="1"/>
  <c r="I71" i="1"/>
  <c r="H71" i="1"/>
  <c r="K70" i="1"/>
  <c r="J70" i="1"/>
  <c r="J70" i="1" a="1"/>
  <c r="I70" i="1"/>
  <c r="H70" i="1"/>
  <c r="K69" i="1"/>
  <c r="J69" i="1" a="1"/>
  <c r="J69" i="1" s="1"/>
  <c r="I69" i="1"/>
  <c r="H69" i="1"/>
  <c r="K68" i="1"/>
  <c r="J68" i="1"/>
  <c r="J68" i="1" a="1"/>
  <c r="I68" i="1"/>
  <c r="H68" i="1"/>
  <c r="K67" i="1"/>
  <c r="J67" i="1" a="1"/>
  <c r="J67" i="1" s="1"/>
  <c r="I67" i="1"/>
  <c r="H67" i="1"/>
  <c r="K66" i="1"/>
  <c r="J66" i="1" a="1"/>
  <c r="J66" i="1" s="1"/>
  <c r="I66" i="1"/>
  <c r="H66" i="1"/>
  <c r="K65" i="1"/>
  <c r="J65" i="1" a="1"/>
  <c r="J65" i="1" s="1"/>
  <c r="I65" i="1"/>
  <c r="H65" i="1"/>
  <c r="K64" i="1"/>
  <c r="J64" i="1" a="1"/>
  <c r="J64" i="1" s="1"/>
  <c r="I64" i="1"/>
  <c r="H64" i="1"/>
  <c r="K63" i="1"/>
  <c r="J63" i="1" a="1"/>
  <c r="J63" i="1" s="1"/>
  <c r="I63" i="1"/>
  <c r="H63" i="1"/>
  <c r="K62" i="1"/>
  <c r="J62" i="1"/>
  <c r="J62" i="1" a="1"/>
  <c r="I62" i="1"/>
  <c r="H62" i="1"/>
  <c r="K61" i="1"/>
  <c r="J61" i="1" a="1"/>
  <c r="J61" i="1" s="1"/>
  <c r="I61" i="1"/>
  <c r="H61" i="1"/>
  <c r="K60" i="1"/>
  <c r="J60" i="1"/>
  <c r="J60" i="1" a="1"/>
  <c r="I60" i="1"/>
  <c r="H60" i="1"/>
  <c r="K59" i="1"/>
  <c r="J59" i="1" a="1"/>
  <c r="J59" i="1" s="1"/>
  <c r="I59" i="1"/>
  <c r="H59" i="1"/>
  <c r="K58" i="1"/>
  <c r="J58" i="1" a="1"/>
  <c r="J58" i="1" s="1"/>
  <c r="I58" i="1"/>
  <c r="H58" i="1"/>
  <c r="K57" i="1"/>
  <c r="J57" i="1" a="1"/>
  <c r="J57" i="1" s="1"/>
  <c r="I57" i="1"/>
  <c r="H57" i="1"/>
  <c r="K56" i="1"/>
  <c r="J56" i="1"/>
  <c r="J56" i="1" a="1"/>
  <c r="I56" i="1"/>
  <c r="H56" i="1"/>
  <c r="K55" i="1"/>
  <c r="J55" i="1" a="1"/>
  <c r="J55" i="1" s="1"/>
  <c r="I55" i="1"/>
  <c r="H55" i="1"/>
  <c r="K54" i="1"/>
  <c r="J54" i="1"/>
  <c r="J54" i="1" a="1"/>
  <c r="I54" i="1"/>
  <c r="H54" i="1"/>
  <c r="K53" i="1"/>
  <c r="J53" i="1" a="1"/>
  <c r="J53" i="1" s="1"/>
  <c r="I53" i="1"/>
  <c r="H53" i="1"/>
  <c r="K52" i="1"/>
  <c r="J52" i="1"/>
  <c r="J52" i="1" a="1"/>
  <c r="I52" i="1"/>
  <c r="H52" i="1"/>
  <c r="K51" i="1"/>
  <c r="J51" i="1" a="1"/>
  <c r="J51" i="1" s="1"/>
  <c r="I51" i="1"/>
  <c r="H51" i="1"/>
  <c r="K50" i="1"/>
  <c r="J50" i="1" a="1"/>
  <c r="J50" i="1" s="1"/>
  <c r="I50" i="1"/>
  <c r="H50" i="1"/>
  <c r="K49" i="1"/>
  <c r="J49" i="1" a="1"/>
  <c r="J49" i="1" s="1"/>
  <c r="I49" i="1"/>
  <c r="H49" i="1"/>
  <c r="K48" i="1"/>
  <c r="J48" i="1" a="1"/>
  <c r="J48" i="1" s="1"/>
  <c r="I48" i="1"/>
  <c r="H48" i="1"/>
  <c r="K47" i="1"/>
  <c r="J47" i="1" a="1"/>
  <c r="J47" i="1" s="1"/>
  <c r="I47" i="1"/>
  <c r="H47" i="1"/>
  <c r="K46" i="1"/>
  <c r="J46" i="1"/>
  <c r="J46" i="1" a="1"/>
  <c r="I46" i="1"/>
  <c r="H46" i="1"/>
  <c r="K45" i="1"/>
  <c r="J45" i="1" a="1"/>
  <c r="J45" i="1" s="1"/>
  <c r="I45" i="1"/>
  <c r="H45" i="1"/>
  <c r="K44" i="1"/>
  <c r="J44" i="1"/>
  <c r="J44" i="1" a="1"/>
  <c r="I44" i="1"/>
  <c r="H44" i="1"/>
  <c r="K43" i="1"/>
  <c r="J43" i="1" a="1"/>
  <c r="J43" i="1" s="1"/>
  <c r="I43" i="1"/>
  <c r="H43" i="1"/>
  <c r="K42" i="1"/>
  <c r="J42" i="1" a="1"/>
  <c r="J42" i="1" s="1"/>
  <c r="I42" i="1"/>
  <c r="H42" i="1"/>
  <c r="K41" i="1"/>
  <c r="J41" i="1" a="1"/>
  <c r="J41" i="1" s="1"/>
  <c r="I41" i="1"/>
  <c r="H41" i="1"/>
  <c r="K40" i="1"/>
  <c r="J40" i="1"/>
  <c r="J40" i="1" a="1"/>
  <c r="I40" i="1"/>
  <c r="H40" i="1"/>
  <c r="K39" i="1"/>
  <c r="J39" i="1" a="1"/>
  <c r="J39" i="1" s="1"/>
  <c r="I39" i="1"/>
  <c r="H39" i="1"/>
  <c r="K38" i="1"/>
  <c r="J38" i="1"/>
  <c r="J38" i="1" a="1"/>
  <c r="I38" i="1"/>
  <c r="H38" i="1"/>
  <c r="K37" i="1"/>
  <c r="J37" i="1" a="1"/>
  <c r="J37" i="1" s="1"/>
  <c r="I37" i="1"/>
  <c r="H37" i="1"/>
  <c r="K36" i="1"/>
  <c r="J36" i="1"/>
  <c r="J36" i="1" a="1"/>
  <c r="I36" i="1"/>
  <c r="H36" i="1"/>
  <c r="K35" i="1"/>
  <c r="J35" i="1" a="1"/>
  <c r="J35" i="1" s="1"/>
  <c r="I35" i="1"/>
  <c r="H35" i="1"/>
  <c r="K34" i="1"/>
  <c r="J34" i="1" a="1"/>
  <c r="J34" i="1" s="1"/>
  <c r="I34" i="1"/>
  <c r="H34" i="1"/>
  <c r="K33" i="1"/>
  <c r="J33" i="1" a="1"/>
  <c r="J33" i="1" s="1"/>
  <c r="I33" i="1"/>
  <c r="H33" i="1"/>
  <c r="K32" i="1"/>
  <c r="J32" i="1" a="1"/>
  <c r="J32" i="1" s="1"/>
  <c r="I32" i="1"/>
  <c r="H32" i="1"/>
  <c r="K31" i="1"/>
  <c r="J31" i="1" a="1"/>
  <c r="J31" i="1" s="1"/>
  <c r="I31" i="1"/>
  <c r="H31" i="1"/>
  <c r="K30" i="1"/>
  <c r="J30" i="1"/>
  <c r="J30" i="1" a="1"/>
  <c r="I30" i="1"/>
  <c r="H30" i="1"/>
  <c r="K29" i="1"/>
  <c r="J29" i="1" a="1"/>
  <c r="J29" i="1" s="1"/>
  <c r="I29" i="1"/>
  <c r="H29" i="1"/>
  <c r="K28" i="1"/>
  <c r="J28" i="1"/>
  <c r="J28" i="1" a="1"/>
  <c r="I28" i="1"/>
  <c r="H28" i="1"/>
  <c r="K27" i="1"/>
  <c r="J27" i="1" a="1"/>
  <c r="J27" i="1" s="1"/>
  <c r="I27" i="1"/>
  <c r="H27" i="1"/>
  <c r="K26" i="1"/>
  <c r="J26" i="1" a="1"/>
  <c r="J26" i="1" s="1"/>
  <c r="I26" i="1"/>
  <c r="H26" i="1"/>
  <c r="K25" i="1"/>
  <c r="J25" i="1" a="1"/>
  <c r="J25" i="1" s="1"/>
  <c r="I25" i="1"/>
  <c r="H25" i="1"/>
  <c r="K24" i="1"/>
  <c r="J24" i="1"/>
  <c r="J24" i="1" a="1"/>
  <c r="I24" i="1"/>
  <c r="H24" i="1"/>
  <c r="K23" i="1"/>
  <c r="J23" i="1" a="1"/>
  <c r="J23" i="1" s="1"/>
  <c r="I23" i="1"/>
  <c r="H23" i="1"/>
  <c r="K22" i="1"/>
  <c r="J22" i="1"/>
  <c r="J22" i="1" a="1"/>
  <c r="I22" i="1"/>
  <c r="H22" i="1"/>
  <c r="K21" i="1"/>
  <c r="J21" i="1" a="1"/>
  <c r="J21" i="1" s="1"/>
  <c r="I21" i="1"/>
  <c r="H21" i="1"/>
  <c r="K20" i="1"/>
  <c r="J20" i="1"/>
  <c r="J20" i="1" a="1"/>
  <c r="I20" i="1"/>
  <c r="H20" i="1"/>
  <c r="K19" i="1"/>
  <c r="J19" i="1" a="1"/>
  <c r="J19" i="1" s="1"/>
  <c r="I19" i="1"/>
  <c r="H19" i="1"/>
  <c r="K18" i="1"/>
  <c r="J18" i="1" a="1"/>
  <c r="J18" i="1" s="1"/>
  <c r="I18" i="1"/>
  <c r="H18" i="1"/>
  <c r="K17" i="1"/>
  <c r="J17" i="1" a="1"/>
  <c r="J17" i="1" s="1"/>
  <c r="I17" i="1"/>
  <c r="H17" i="1"/>
  <c r="K16" i="1"/>
  <c r="J16" i="1" a="1"/>
  <c r="J16" i="1" s="1"/>
  <c r="I16" i="1"/>
  <c r="H16" i="1"/>
  <c r="K15" i="1"/>
  <c r="J15" i="1" a="1"/>
  <c r="J15" i="1" s="1"/>
  <c r="I15" i="1"/>
  <c r="H15" i="1"/>
  <c r="K14" i="1"/>
  <c r="J14" i="1"/>
  <c r="J14" i="1" a="1"/>
  <c r="I14" i="1"/>
  <c r="H14" i="1"/>
  <c r="K13" i="1"/>
  <c r="J13" i="1" a="1"/>
  <c r="J13" i="1" s="1"/>
  <c r="I13" i="1"/>
  <c r="H13" i="1"/>
  <c r="K12" i="1"/>
  <c r="J12" i="1"/>
  <c r="J12" i="1" a="1"/>
  <c r="I12" i="1"/>
  <c r="H12" i="1"/>
  <c r="K11" i="1"/>
  <c r="J11" i="1" a="1"/>
  <c r="J11" i="1" s="1"/>
  <c r="I11" i="1"/>
  <c r="H11" i="1"/>
  <c r="K10" i="1"/>
  <c r="J10" i="1" a="1"/>
  <c r="J10" i="1" s="1"/>
  <c r="I10" i="1"/>
  <c r="H10" i="1"/>
  <c r="K9" i="1"/>
  <c r="J9" i="1" a="1"/>
  <c r="J9" i="1" s="1"/>
  <c r="I9" i="1"/>
  <c r="H9" i="1"/>
  <c r="K8" i="1"/>
  <c r="J8" i="1"/>
  <c r="J8" i="1" a="1"/>
  <c r="I8" i="1"/>
  <c r="H8" i="1"/>
  <c r="K7" i="1"/>
  <c r="J7" i="1" a="1"/>
  <c r="J7" i="1" s="1"/>
  <c r="I7" i="1"/>
  <c r="H7" i="1"/>
  <c r="K6" i="1"/>
  <c r="J6" i="1"/>
  <c r="J6" i="1" a="1"/>
  <c r="I6" i="1"/>
  <c r="H6" i="1"/>
  <c r="K5" i="1"/>
  <c r="J5" i="1" a="1"/>
  <c r="J5" i="1" s="1"/>
  <c r="I5" i="1"/>
  <c r="H5" i="1"/>
  <c r="K4" i="1"/>
  <c r="J4" i="1"/>
  <c r="J4" i="1" a="1"/>
  <c r="I4" i="1"/>
  <c r="H4" i="1"/>
  <c r="K3" i="1"/>
  <c r="J3" i="1" a="1"/>
  <c r="J3" i="1" s="1"/>
  <c r="I3" i="1"/>
  <c r="H3" i="1"/>
  <c r="K2" i="1"/>
  <c r="J2" i="1" a="1"/>
  <c r="J2" i="1" s="1"/>
  <c r="I2"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B3345-A1FF-446B-8FA6-7BD4578B76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926294-45F4-4632-BB71-B10C7D16C99E}" name="WorksheetConnection_Book1!calls" type="102" refreshedVersion="8" minRefreshableVersion="5">
    <extLst>
      <ext xmlns:x15="http://schemas.microsoft.com/office/spreadsheetml/2010/11/main" uri="{DE250136-89BD-433C-8126-D09CA5730AF9}">
        <x15:connection id="calls" autoDelete="1">
          <x15:rangePr sourceName="_xlcn.WorksheetConnection_Book1calls1"/>
        </x15:connection>
      </ext>
    </extLst>
  </connection>
  <connection id="3" xr16:uid="{19E51EA4-8E93-4E48-BF33-D0FF2AFF0248}"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s>
</file>

<file path=xl/sharedStrings.xml><?xml version="1.0" encoding="utf-8"?>
<sst xmlns="http://schemas.openxmlformats.org/spreadsheetml/2006/main" count="3159" uniqueCount="1069">
  <si>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</si>
  <si>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</si>
  <si>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</si>
  <si>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</si>
  <si>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</si>
  <si>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</si>
  <si>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</si>
  <si>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</si>
  <si>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</si>
  <si>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</si>
  <si>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</si>
  <si>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</si>
  <si>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</si>
  <si>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</si>
  <si>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</si>
  <si>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</si>
  <si>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</si>
  <si>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</si>
  <si>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</si>
  <si>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</si>
  <si>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</si>
  <si>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</si>
  <si>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</si>
  <si>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</si>
  <si>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</si>
  <si>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</si>
  <si>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</si>
  <si>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</si>
  <si>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</si>
  <si>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</si>
  <si>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</si>
  <si>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</si>
  <si>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</si>
  <si>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</si>
  <si>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</si>
  <si>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</si>
  <si>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</si>
  <si>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</si>
  <si>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</si>
  <si>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</si>
  <si>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</si>
  <si>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</si>
  <si>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</si>
  <si>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</si>
  <si>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</si>
  <si>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</si>
  <si>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</si>
  <si>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</si>
  <si>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</si>
  <si>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</si>
  <si>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</si>
  <si>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</si>
  <si>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</si>
  <si>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</si>
  <si>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</si>
  <si>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</si>
  <si>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</si>
  <si>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</si>
  <si>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</si>
  <si>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</si>
  <si>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</si>
  <si>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</si>
  <si>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</si>
  <si>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</si>
  <si>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</si>
  <si>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</si>
  <si>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</si>
  <si>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</si>
  <si>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</si>
  <si>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</si>
  <si>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</si>
  <si>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</si>
  <si>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</si>
  <si>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</si>
  <si>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</si>
  <si>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</si>
  <si>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</si>
  <si>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</si>
  <si>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</si>
  <si>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</si>
  <si>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</si>
  <si>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</si>
  <si>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</si>
  <si>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</si>
  <si>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</si>
  <si>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</si>
  <si>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</si>
  <si>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</si>
  <si>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</si>
  <si>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</si>
  <si>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</si>
  <si>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</si>
  <si>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</si>
  <si>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</si>
  <si>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</si>
  <si>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</si>
  <si>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</si>
  <si>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</si>
  <si>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</si>
  <si>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</si>
  <si>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</si>
  <si>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</si>
  <si>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</si>
  <si>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</si>
  <si>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</si>
  <si>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</si>
  <si>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</si>
  <si>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</si>
  <si>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</si>
  <si>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</si>
  <si>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</si>
  <si>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</si>
  <si>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</si>
  <si>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</si>
  <si>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</si>
  <si>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</si>
  <si>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</si>
  <si>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</si>
  <si>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</si>
  <si>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</si>
  <si>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</si>
  <si>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</si>
  <si>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</si>
  <si>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</si>
  <si>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</si>
  <si>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</si>
  <si>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</si>
  <si>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</si>
  <si>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</si>
  <si>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</si>
  <si>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</si>
  <si>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</si>
  <si>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</si>
  <si>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</si>
  <si>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</si>
  <si>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</si>
  <si>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</si>
  <si>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</si>
  <si>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</si>
  <si>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</si>
  <si>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</si>
  <si>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</si>
  <si>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</si>
  <si>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</si>
  <si>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</si>
  <si>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</si>
  <si>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</si>
  <si>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</si>
  <si>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</si>
  <si>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</si>
  <si>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</si>
  <si>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</si>
  <si>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</si>
  <si>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</si>
  <si>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</si>
  <si>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</si>
  <si>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</si>
  <si>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</si>
  <si>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</si>
  <si>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</si>
  <si>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</si>
  <si>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</si>
  <si>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</si>
  <si>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</si>
  <si>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</si>
  <si>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</si>
  <si>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</si>
  <si>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</si>
  <si>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</si>
  <si>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</si>
  <si>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</si>
  <si>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</si>
  <si>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</si>
  <si>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</si>
  <si>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</si>
  <si>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</si>
  <si>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</si>
  <si>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</si>
  <si>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</si>
  <si>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</si>
  <si>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</si>
  <si>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</si>
  <si>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</si>
  <si>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</si>
  <si>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</si>
  <si>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</si>
  <si>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</si>
  <si>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</si>
  <si>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</si>
  <si>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</si>
  <si>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</si>
  <si>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</si>
  <si>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</si>
  <si>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</si>
  <si>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</si>
  <si>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</si>
  <si>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</si>
  <si>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</si>
  <si>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</si>
  <si>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</si>
  <si>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</si>
  <si>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</si>
  <si>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</si>
  <si>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</si>
  <si>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</si>
  <si>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</si>
  <si>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</si>
  <si>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</si>
  <si>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</si>
  <si>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</si>
  <si>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</si>
  <si>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</si>
  <si>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</si>
  <si>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</si>
  <si>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</si>
  <si>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</si>
  <si>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</si>
  <si>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</si>
  <si>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</si>
  <si>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</si>
  <si>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</si>
  <si>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</si>
  <si>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</si>
  <si>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</si>
  <si>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</si>
  <si>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</si>
  <si>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</si>
  <si>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</si>
  <si>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</si>
  <si>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</si>
  <si>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</si>
  <si>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</si>
  <si>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</si>
  <si>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</si>
  <si>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</si>
  <si>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</si>
  <si>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</si>
  <si>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</si>
  <si>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</si>
  <si>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</si>
  <si>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</si>
  <si>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</si>
  <si>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</si>
  <si>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</si>
  <si>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</si>
  <si>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</si>
  <si>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</si>
  <si>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</si>
  <si>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</si>
  <si>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</si>
  <si>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</si>
  <si>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</si>
  <si>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</si>
  <si>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</si>
  <si>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</si>
  <si>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</si>
  <si>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</si>
  <si>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</si>
  <si>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</si>
  <si>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</si>
  <si>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</si>
  <si>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</si>
  <si>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</si>
  <si>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</si>
  <si>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</si>
  <si>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</si>
  <si>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</si>
  <si>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</si>
  <si>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</si>
  <si>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</si>
  <si>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</si>
  <si>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</si>
  <si>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</si>
  <si>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</si>
  <si>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</si>
  <si>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</si>
  <si>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</si>
  <si>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</si>
  <si>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</si>
  <si>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</si>
  <si>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</si>
  <si>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</si>
  <si>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</si>
  <si>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</si>
  <si>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</si>
  <si>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</si>
  <si>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</si>
  <si>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</si>
  <si>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</si>
  <si>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</si>
  <si>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</si>
  <si>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</si>
  <si>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</si>
  <si>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</si>
  <si>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</si>
  <si>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</si>
  <si>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</si>
  <si>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</si>
  <si>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</si>
  <si>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</si>
  <si>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</si>
  <si>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</si>
  <si>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</si>
  <si>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</si>
  <si>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</si>
  <si>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</si>
  <si>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</si>
  <si>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</si>
  <si>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</si>
  <si>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</si>
  <si>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</si>
  <si>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</si>
  <si>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</si>
  <si>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</si>
  <si>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</si>
  <si>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</si>
  <si>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</si>
  <si>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</si>
  <si>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</si>
  <si>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</si>
  <si>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</si>
  <si>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</si>
  <si>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</si>
  <si>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</si>
  <si>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</si>
  <si>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</si>
  <si>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</si>
  <si>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</si>
  <si>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</si>
  <si>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</si>
  <si>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</si>
  <si>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</si>
  <si>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</si>
  <si>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</si>
  <si>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</si>
  <si>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</si>
  <si>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</si>
  <si>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</si>
  <si>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</si>
  <si>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</si>
  <si>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</si>
  <si>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</si>
  <si>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</si>
  <si>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</si>
  <si>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</si>
  <si>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</si>
  <si>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</si>
  <si>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</si>
  <si>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</si>
  <si>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</si>
  <si>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</si>
  <si>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</si>
  <si>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</si>
  <si>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</si>
  <si>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</si>
  <si>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</si>
  <si>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</si>
  <si>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</si>
  <si>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</si>
  <si>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</si>
  <si>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</si>
  <si>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</si>
  <si>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</si>
  <si>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</si>
  <si>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</si>
  <si>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</si>
  <si>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</si>
  <si>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</si>
  <si>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</si>
  <si>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</si>
  <si>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</si>
  <si>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</si>
  <si>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</si>
  <si>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</si>
  <si>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</si>
  <si>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</si>
  <si>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</si>
  <si>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</si>
  <si>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</si>
  <si>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</si>
  <si>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</si>
  <si>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</si>
  <si>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</si>
  <si>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</si>
  <si>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</si>
  <si>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</si>
  <si>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</si>
  <si>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</si>
  <si>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</si>
  <si>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</si>
  <si>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</si>
  <si>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</si>
  <si>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</si>
  <si>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</si>
  <si>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</si>
  <si>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</si>
  <si>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</si>
  <si>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</si>
  <si>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</si>
  <si>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</si>
  <si>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</si>
  <si>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</si>
  <si>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</si>
  <si>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</si>
  <si>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</si>
  <si>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</si>
  <si>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</si>
  <si>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</si>
  <si>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</si>
  <si>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</si>
  <si>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</si>
  <si>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</si>
  <si>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</si>
  <si>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</si>
  <si>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</si>
  <si>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</si>
  <si>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</si>
  <si>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</si>
  <si>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</si>
  <si>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</si>
  <si>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</si>
  <si>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</si>
  <si>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</si>
  <si>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</si>
  <si>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</si>
  <si>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</si>
  <si>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</si>
  <si>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</si>
  <si>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</si>
  <si>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</si>
  <si>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</si>
  <si>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</si>
  <si>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</si>
  <si>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</si>
  <si>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</si>
  <si>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</si>
  <si>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</si>
  <si>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</si>
  <si>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</si>
  <si>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</si>
  <si>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</si>
  <si>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</si>
  <si>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</si>
  <si>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</si>
  <si>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</si>
  <si>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</si>
  <si>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</si>
  <si>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</si>
  <si>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</si>
  <si>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</si>
  <si>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</si>
  <si>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</si>
  <si>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</si>
  <si>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</si>
  <si>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</si>
  <si>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</si>
  <si>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</si>
  <si>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</si>
  <si>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</si>
  <si>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</si>
  <si>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</si>
  <si>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</si>
  <si>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</si>
  <si>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</si>
  <si>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</si>
  <si>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</si>
  <si>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</si>
  <si>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</si>
  <si>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</si>
  <si>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</si>
  <si>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</si>
  <si>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</si>
  <si>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</si>
  <si>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</si>
  <si>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</si>
  <si>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</si>
  <si>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</si>
  <si>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</si>
  <si>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</si>
  <si>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</si>
  <si>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</si>
  <si>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</si>
  <si>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</si>
  <si>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</si>
  <si>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</si>
  <si>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</si>
  <si>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</si>
  <si>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</si>
  <si>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</si>
  <si>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</si>
  <si>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</si>
  <si>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</si>
  <si>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</si>
  <si>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</si>
  <si>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</si>
  <si>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</si>
  <si>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</si>
  <si>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</si>
  <si>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</si>
  <si>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</si>
  <si>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</si>
  <si>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</si>
  <si>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</si>
  <si>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</si>
  <si>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</si>
  <si>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</si>
  <si>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</si>
  <si>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</si>
  <si>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</si>
  <si>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</si>
  <si>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</si>
  <si>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</si>
  <si>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</si>
  <si>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</si>
  <si>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</si>
  <si>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</si>
  <si>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</si>
  <si>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</si>
  <si>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</si>
  <si>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</si>
  <si>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</si>
  <si>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</si>
  <si>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</si>
  <si>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</si>
  <si>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</si>
  <si>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</si>
  <si>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</si>
  <si>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</si>
  <si>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</si>
  <si>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</si>
  <si>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</si>
  <si>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</si>
  <si>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</si>
  <si>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</si>
  <si>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</si>
  <si>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</si>
  <si>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</si>
  <si>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</si>
  <si>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</si>
  <si>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</si>
  <si>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</si>
  <si>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</si>
  <si>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</si>
  <si>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</si>
  <si>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</si>
  <si>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</si>
  <si>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</si>
  <si>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</si>
  <si>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</si>
  <si>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</si>
  <si>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</si>
  <si>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</si>
  <si>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</si>
  <si>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</si>
  <si>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</si>
  <si>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</si>
  <si>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</si>
  <si>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</si>
  <si>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</si>
  <si>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</si>
  <si>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</si>
  <si>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</si>
  <si>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</si>
  <si>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</si>
  <si>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</si>
  <si>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</si>
  <si>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</si>
  <si>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</si>
  <si>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</si>
  <si>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</si>
  <si>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</si>
  <si>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</si>
  <si>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</si>
  <si>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</si>
  <si>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</si>
  <si>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</si>
  <si>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</si>
  <si>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</si>
  <si>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</si>
  <si>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</si>
  <si>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</si>
  <si>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</si>
  <si>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</si>
  <si>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</si>
  <si>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</si>
  <si>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</si>
  <si>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</si>
  <si>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</si>
  <si>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</si>
  <si>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</si>
  <si>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</si>
  <si>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</si>
  <si>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</si>
  <si>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</si>
  <si>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</si>
  <si>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</si>
  <si>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</si>
  <si>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</si>
  <si>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</si>
  <si>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</si>
  <si>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</si>
  <si>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</si>
  <si>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</si>
  <si>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</si>
  <si>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</si>
  <si>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</si>
  <si>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</si>
  <si>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</si>
  <si>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</si>
  <si>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</si>
  <si>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</si>
  <si>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</si>
  <si>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</si>
  <si>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</si>
  <si>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</si>
  <si>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</si>
  <si>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</si>
  <si>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</si>
  <si>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</si>
  <si>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</si>
  <si>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</si>
  <si>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</si>
  <si>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</si>
  <si>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</si>
  <si>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</si>
  <si>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</si>
  <si>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</si>
  <si>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</si>
  <si>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</si>
  <si>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</si>
  <si>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</si>
  <si>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</si>
  <si>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</si>
  <si>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</si>
  <si>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</si>
  <si>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</si>
  <si>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</si>
  <si>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</si>
  <si>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</si>
  <si>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</si>
  <si>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</si>
  <si>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</si>
  <si>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</si>
  <si>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</si>
  <si>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</si>
  <si>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</si>
  <si>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</si>
  <si>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</si>
  <si>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</si>
  <si>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</si>
  <si>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</si>
  <si>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</si>
  <si>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</si>
  <si>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</si>
  <si>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</si>
  <si>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</si>
  <si>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</si>
  <si>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</si>
  <si>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</si>
  <si>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</si>
  <si>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</si>
  <si>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</si>
  <si>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</si>
  <si>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</si>
  <si>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</si>
  <si>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</si>
  <si>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</si>
  <si>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</si>
  <si>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</si>
  <si>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</si>
  <si>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</si>
  <si>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</si>
  <si>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</si>
  <si>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</si>
  <si>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</si>
  <si>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</si>
  <si>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</si>
  <si>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</si>
  <si>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</si>
  <si>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</si>
  <si>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</si>
  <si>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</si>
  <si>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</si>
  <si>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</si>
  <si>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</si>
  <si>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</si>
  <si>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</si>
  <si>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</si>
  <si>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</si>
  <si>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</si>
  <si>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</si>
  <si>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</si>
  <si>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</si>
  <si>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</si>
  <si>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</si>
  <si>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</si>
  <si>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</si>
  <si>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</si>
  <si>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</si>
  <si>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</si>
  <si>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</si>
  <si>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</si>
  <si>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</si>
  <si>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</si>
  <si>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</si>
  <si>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</si>
  <si>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</si>
  <si>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</si>
  <si>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</si>
  <si>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</si>
  <si>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</si>
  <si>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</si>
  <si>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</si>
  <si>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</si>
  <si>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</si>
  <si>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</si>
  <si>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</si>
  <si>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</si>
  <si>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</si>
  <si>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</si>
  <si>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</si>
  <si>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</si>
  <si>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</si>
  <si>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</si>
  <si>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</si>
  <si>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</si>
  <si>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</si>
  <si>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</si>
  <si>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</si>
  <si>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</si>
  <si>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</si>
  <si>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</si>
  <si>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</si>
  <si>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</si>
  <si>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</si>
  <si>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</si>
  <si>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</si>
  <si>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</si>
  <si>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</si>
  <si>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</si>
  <si>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</si>
  <si>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</si>
  <si>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</si>
  <si>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</si>
  <si>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</si>
  <si>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</si>
  <si>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</si>
  <si>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</si>
  <si>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</si>
  <si>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</si>
  <si>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</si>
  <si>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</si>
  <si>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</si>
  <si>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</si>
  <si>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</si>
  <si>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</si>
  <si>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</si>
  <si>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</si>
  <si>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</si>
  <si>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</si>
  <si>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</si>
  <si>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</si>
  <si>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</si>
  <si>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</si>
  <si>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</si>
  <si>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</si>
  <si>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</si>
  <si>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</si>
  <si>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</si>
  <si>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</si>
  <si>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</si>
  <si>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</si>
  <si>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</si>
  <si>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</si>
  <si>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</si>
  <si>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</si>
  <si>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</si>
  <si>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</si>
  <si>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</si>
  <si>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</si>
  <si>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</si>
  <si>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</si>
  <si>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</si>
  <si>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</si>
  <si>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</si>
  <si>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</si>
  <si>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</si>
  <si>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</si>
  <si>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</si>
  <si>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</si>
  <si>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</si>
  <si>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</si>
  <si>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</si>
  <si>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</si>
  <si>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</si>
  <si>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</si>
  <si>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</si>
  <si>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</si>
  <si>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</si>
  <si>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</si>
  <si>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</si>
  <si>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</si>
  <si>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</si>
  <si>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</si>
  <si>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</si>
  <si>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</si>
  <si>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</si>
  <si>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</si>
  <si>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</si>
  <si>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</si>
  <si>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</si>
  <si>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</si>
  <si>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</si>
  <si>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</si>
  <si>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</si>
  <si>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</si>
  <si>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</si>
  <si>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</si>
  <si>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</si>
  <si>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</si>
  <si>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</si>
  <si>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</si>
  <si>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</si>
  <si>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</si>
  <si>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</si>
  <si>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</si>
  <si>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</si>
  <si>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</si>
  <si>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</si>
  <si>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</si>
  <si>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</si>
  <si>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</si>
  <si>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</si>
  <si>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</si>
  <si>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</si>
  <si>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</si>
  <si>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</si>
  <si>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</si>
  <si>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</si>
  <si>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</si>
  <si>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</si>
  <si>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</si>
  <si>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</si>
  <si>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</si>
  <si>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</si>
  <si>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</si>
  <si>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</si>
  <si>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</si>
  <si>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</si>
  <si>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</si>
  <si>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</si>
  <si>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</si>
  <si>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</si>
  <si>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</si>
  <si>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</si>
  <si>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</si>
  <si>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</si>
  <si>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</si>
  <si>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</si>
  <si>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</si>
  <si>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</si>
  <si>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</si>
  <si>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</si>
  <si>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</si>
  <si>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</si>
  <si>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</si>
  <si>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</si>
  <si>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</si>
  <si>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</si>
  <si>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</si>
  <si>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</si>
  <si>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</si>
  <si>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</si>
  <si>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</si>
  <si>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</si>
  <si>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</si>
  <si>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</si>
  <si>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</si>
  <si>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</si>
  <si>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</si>
  <si>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</si>
  <si>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</si>
  <si>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</si>
  <si>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</si>
  <si>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</si>
  <si>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</si>
  <si>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</si>
  <si>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</si>
  <si>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</si>
  <si>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</si>
  <si>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</si>
  <si>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</si>
  <si>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</si>
  <si>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</si>
  <si>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</si>
  <si>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</si>
  <si>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</si>
  <si>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</si>
  <si>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</si>
  <si>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</si>
  <si>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</si>
  <si>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</si>
  <si>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</si>
  <si>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</si>
  <si>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</si>
  <si>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</si>
  <si>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</si>
  <si>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</si>
  <si>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</si>
  <si>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</si>
  <si>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</si>
  <si>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</si>
  <si>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</si>
  <si>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</si>
  <si>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</si>
  <si>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</si>
  <si>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</si>
  <si>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</si>
  <si>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</si>
  <si>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</si>
  <si>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</si>
  <si>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</si>
  <si>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</si>
  <si>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</si>
  <si>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</si>
  <si>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</si>
  <si>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</si>
  <si>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</si>
  <si>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</si>
  <si>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</si>
  <si>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</si>
  <si>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</si>
  <si>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</si>
  <si>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</si>
  <si>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</si>
  <si>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</si>
  <si>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</si>
  <si>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</si>
  <si>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</si>
  <si>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</si>
  <si>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</si>
  <si>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</si>
  <si>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</si>
  <si>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</si>
  <si>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</si>
  <si>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</si>
  <si>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</si>
  <si>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</si>
  <si>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</si>
  <si>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</si>
  <si>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</si>
  <si>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</si>
  <si>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</si>
  <si>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</si>
  <si>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</si>
  <si>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</si>
  <si>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</si>
  <si>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</si>
  <si>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</si>
  <si>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</si>
  <si>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</si>
  <si>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</si>
  <si>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</si>
  <si>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</si>
  <si>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</si>
  <si>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</si>
  <si>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</si>
  <si>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</si>
  <si>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</si>
  <si>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</si>
  <si>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</si>
  <si>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</si>
  <si>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</si>
  <si>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</si>
  <si>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</si>
  <si>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</si>
  <si>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</si>
  <si>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</si>
  <si>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</si>
  <si>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</si>
  <si>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</si>
  <si>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</si>
  <si>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</si>
  <si>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</si>
  <si>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</si>
  <si>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</si>
  <si>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</si>
  <si>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</si>
  <si>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</si>
  <si>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</si>
  <si>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</si>
  <si>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</si>
  <si>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</si>
  <si>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</si>
  <si>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</si>
  <si>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</si>
  <si>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</si>
  <si>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</si>
  <si>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</si>
  <si>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</si>
  <si>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</si>
  <si>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</si>
  <si>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</si>
  <si>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</si>
  <si>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</si>
  <si>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</si>
  <si>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</si>
  <si>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</si>
  <si>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</si>
  <si>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</si>
  <si>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</si>
  <si>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</si>
  <si>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</si>
  <si>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</si>
  <si>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</si>
  <si>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</si>
  <si>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</si>
  <si>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</si>
  <si>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</si>
  <si>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</si>
  <si>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</si>
  <si>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</si>
  <si>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</si>
  <si>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</si>
  <si>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</si>
  <si>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</si>
  <si>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</si>
  <si>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</si>
  <si>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</si>
  <si>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</si>
  <si>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</si>
  <si>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</si>
  <si>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Age</t>
  </si>
  <si>
    <t>City</t>
  </si>
  <si>
    <t>Male</t>
  </si>
  <si>
    <t>Columbus</t>
  </si>
  <si>
    <t>Cleveland</t>
  </si>
  <si>
    <t>Cincinnati</t>
  </si>
  <si>
    <t>Female</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</si>
  <si>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</si>
  <si>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</si>
  <si>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</si>
  <si>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</si>
  <si>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</si>
  <si>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</si>
  <si>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</si>
  <si>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</si>
  <si>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</si>
  <si>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</si>
  <si>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</si>
  <si>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</si>
  <si>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</si>
  <si>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</si>
  <si>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</si>
  <si>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</si>
  <si>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</si>
  <si>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</si>
  <si>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</si>
  <si>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</si>
  <si>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</si>
  <si>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</si>
  <si>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</si>
  <si>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</si>
  <si>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</si>
  <si>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</si>
  <si>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</si>
  <si>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Sum of Purchase Amount</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</si>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</sst>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409]d\-mmm\-yy;@"/>
    <numFmt numFmtId="165" formatCode="&quot;₹&quot;\ #,##0;#,##0\ \-&quot;₹&quot;;&quot;₹&quot;\ #,##0"/>
    <numFmt numFmtId="166" formatCode="0.0"/>
  </numFmts>
  <fonts count="4" x14ac:knownFonts="1">
    <font>
      <sz val="11"/>
      <color theme="1"/>
      <name val="Arial"/>
      <family val="2"/>
      <scheme val="minor"/>
    </font>
    <font>
      <sz val="11"/>
      <color theme="1"/>
      <name val="Arial"/>
      <family val="2"/>
      <scheme val="minor"/>
    </font>
    <font>
      <b/>
      <sz val="11"/>
      <color theme="1"/>
      <name val="Arial"/>
      <family val="2"/>
      <scheme val="minor"/>
    </font>
    <font>
      <b/>
      <sz val="11"/>
      <color rgb="FF7E0000"/>
      <name val="Arial"/>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2" fillId="0" borderId="0" xfId="0" applyFont="1"/>
    <xf numFmtId="0" fontId="2" fillId="0" borderId="0" xfId="0" applyFont="1" applyAlignment="1">
      <alignment horizontal="right"/>
    </xf>
    <xf numFmtId="0" fontId="2"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2" fillId="0" borderId="1" xfId="0" applyFont="1" applyBorder="1"/>
    <xf numFmtId="0" fontId="2" fillId="0" borderId="2" xfId="0" applyFont="1" applyBorder="1"/>
    <xf numFmtId="0" fontId="2" fillId="0" borderId="3" xfId="0" applyFont="1" applyBorder="1"/>
    <xf numFmtId="0" fontId="0" fillId="0" borderId="4" xfId="0" applyBorder="1"/>
    <xf numFmtId="9" fontId="0" fillId="0" borderId="5" xfId="0" applyNumberFormat="1" applyBorder="1"/>
    <xf numFmtId="0" fontId="0" fillId="0" borderId="5" xfId="0" applyBorder="1"/>
    <xf numFmtId="0" fontId="0" fillId="0" borderId="6" xfId="0" applyBorder="1"/>
    <xf numFmtId="0" fontId="0" fillId="0" borderId="7" xfId="0" applyBorder="1"/>
    <xf numFmtId="9" fontId="0" fillId="0" borderId="8" xfId="0" applyNumberFormat="1" applyBorder="1"/>
    <xf numFmtId="0" fontId="0" fillId="0" borderId="8" xfId="0" applyBorder="1"/>
    <xf numFmtId="0" fontId="0" fillId="0" borderId="9" xfId="0" applyBorder="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0" borderId="0" xfId="0" applyAlignment="1">
      <alignment horizontal="left" indent="1"/>
    </xf>
    <xf numFmtId="0" fontId="0" fillId="2" borderId="5" xfId="0" applyFill="1" applyBorder="1"/>
    <xf numFmtId="0" fontId="2" fillId="2" borderId="5" xfId="0" applyFont="1" applyFill="1" applyBorder="1"/>
    <xf numFmtId="0" fontId="3" fillId="2" borderId="6" xfId="0" applyFont="1" applyFill="1" applyBorder="1"/>
    <xf numFmtId="0" fontId="2" fillId="2" borderId="6" xfId="0" applyFont="1" applyFill="1" applyBorder="1"/>
    <xf numFmtId="0" fontId="0" fillId="2" borderId="8" xfId="0" applyFill="1" applyBorder="1"/>
    <xf numFmtId="44" fontId="0" fillId="2" borderId="0" xfId="1" applyFont="1" applyFill="1" applyBorder="1"/>
  </cellXfs>
  <cellStyles count="2">
    <cellStyle name="Currency" xfId="1" builtinId="4"/>
    <cellStyle name="Normal" xfId="0" builtinId="0"/>
  </cellStyles>
  <dxfs count="1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s>
  <tableStyles count="0" defaultTableStyle="TableStyleMedium2" defaultPivotStyle="PivotStyleLight16"/>
  <colors>
    <mruColors>
      <color rgb="FF000066"/>
      <color rgb="FF590000"/>
      <color rgb="FF9A1D00"/>
      <color rgb="FF501000"/>
      <color rgb="FF7F3F00"/>
      <color rgb="FF004F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Care Representative Dashboard.xlsx]Pivot!monthly trend</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solidFill>
                  <a:sysClr val="windowText" lastClr="000000"/>
                </a:solidFill>
              </a:rPr>
              <a:t>Call</a:t>
            </a:r>
            <a:r>
              <a:rPr lang="en-IN" b="1" baseline="0">
                <a:solidFill>
                  <a:sysClr val="windowText" lastClr="000000"/>
                </a:solidFill>
              </a:rPr>
              <a:t> Trend</a:t>
            </a:r>
            <a:endParaRPr lang="en-IN" b="1">
              <a:solidFill>
                <a:sysClr val="windowText" lastClr="00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A1D00">
              <a:alpha val="4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alpha val="9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Pivot!$C$16</c:f>
              <c:strCache>
                <c:ptCount val="1"/>
                <c:pt idx="0">
                  <c:v>Call count2</c:v>
                </c:pt>
              </c:strCache>
            </c:strRef>
          </c:tx>
          <c:spPr>
            <a:solidFill>
              <a:srgbClr val="9A1D00">
                <a:alpha val="45000"/>
              </a:srgbClr>
            </a:solidFill>
            <a:ln>
              <a:noFill/>
            </a:ln>
            <a:effectLst/>
          </c:spP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Pivot!$C$17:$C$29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1958-40DE-A74E-3942E079A545}"/>
            </c:ext>
          </c:extLst>
        </c:ser>
        <c:dLbls>
          <c:showLegendKey val="0"/>
          <c:showVal val="0"/>
          <c:showCatName val="0"/>
          <c:showSerName val="0"/>
          <c:showPercent val="0"/>
          <c:showBubbleSize val="0"/>
        </c:dLbls>
        <c:axId val="588562792"/>
        <c:axId val="588563872"/>
      </c:areaChart>
      <c:lineChart>
        <c:grouping val="standard"/>
        <c:varyColors val="0"/>
        <c:ser>
          <c:idx val="0"/>
          <c:order val="0"/>
          <c:tx>
            <c:strRef>
              <c:f>Pivot!$B$16</c:f>
              <c:strCache>
                <c:ptCount val="1"/>
                <c:pt idx="0">
                  <c:v>Call count</c:v>
                </c:pt>
              </c:strCache>
            </c:strRef>
          </c:tx>
          <c:spPr>
            <a:ln w="28575" cap="rnd">
              <a:solidFill>
                <a:schemeClr val="accent3">
                  <a:alpha val="97000"/>
                </a:schemeClr>
              </a:solidFill>
              <a:round/>
            </a:ln>
            <a:effectLst/>
          </c:spPr>
          <c:marker>
            <c:symbol val="none"/>
          </c:marke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Pivot!$B$17:$B$29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1958-40DE-A74E-3942E079A545}"/>
            </c:ext>
          </c:extLst>
        </c:ser>
        <c:dLbls>
          <c:showLegendKey val="0"/>
          <c:showVal val="0"/>
          <c:showCatName val="0"/>
          <c:showSerName val="0"/>
          <c:showPercent val="0"/>
          <c:showBubbleSize val="0"/>
        </c:dLbls>
        <c:marker val="1"/>
        <c:smooth val="0"/>
        <c:axId val="588562792"/>
        <c:axId val="588563872"/>
      </c:lineChart>
      <c:catAx>
        <c:axId val="588562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8563872"/>
        <c:crosses val="autoZero"/>
        <c:auto val="1"/>
        <c:lblAlgn val="ctr"/>
        <c:lblOffset val="100"/>
        <c:noMultiLvlLbl val="0"/>
      </c:catAx>
      <c:valAx>
        <c:axId val="5885638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8562792"/>
        <c:crosses val="autoZero"/>
        <c:crossBetween val="between"/>
      </c:valAx>
      <c:spPr>
        <a:noFill/>
        <a:ln>
          <a:solidFill>
            <a:schemeClr val="accent3">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Care Representative Dashboard.xlsx]Pivot!weekday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s>
    <c:plotArea>
      <c:layout/>
      <c:barChart>
        <c:barDir val="bar"/>
        <c:grouping val="clustered"/>
        <c:varyColors val="0"/>
        <c:ser>
          <c:idx val="0"/>
          <c:order val="0"/>
          <c:tx>
            <c:strRef>
              <c:f>Pivot!$B$32</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Pivot!$A$33:$A$40</c:f>
              <c:strCache>
                <c:ptCount val="7"/>
                <c:pt idx="0">
                  <c:v>Sunday</c:v>
                </c:pt>
                <c:pt idx="1">
                  <c:v>Saturday</c:v>
                </c:pt>
                <c:pt idx="2">
                  <c:v>Friday</c:v>
                </c:pt>
                <c:pt idx="3">
                  <c:v>Thursday</c:v>
                </c:pt>
                <c:pt idx="4">
                  <c:v>Wednesday</c:v>
                </c:pt>
                <c:pt idx="5">
                  <c:v>Tuesday</c:v>
                </c:pt>
                <c:pt idx="6">
                  <c:v>Monday</c:v>
                </c:pt>
              </c:strCache>
            </c:strRef>
          </c:cat>
          <c:val>
            <c:numRef>
              <c:f>Pivot!$B$33:$B$40</c:f>
              <c:numCache>
                <c:formatCode>#,##0</c:formatCode>
                <c:ptCount val="7"/>
                <c:pt idx="0">
                  <c:v>146</c:v>
                </c:pt>
                <c:pt idx="1">
                  <c:v>161</c:v>
                </c:pt>
                <c:pt idx="2">
                  <c:v>141</c:v>
                </c:pt>
                <c:pt idx="3">
                  <c:v>128</c:v>
                </c:pt>
                <c:pt idx="4">
                  <c:v>153</c:v>
                </c:pt>
                <c:pt idx="5">
                  <c:v>138</c:v>
                </c:pt>
                <c:pt idx="6">
                  <c:v>133</c:v>
                </c:pt>
              </c:numCache>
            </c:numRef>
          </c:val>
          <c:extLst>
            <c:ext xmlns:c16="http://schemas.microsoft.com/office/drawing/2014/chart" uri="{C3380CC4-5D6E-409C-BE32-E72D297353CC}">
              <c16:uniqueId val="{00000000-A42D-4DC9-A2A7-E1BC1DCAA675}"/>
            </c:ext>
          </c:extLst>
        </c:ser>
        <c:dLbls>
          <c:dLblPos val="outEnd"/>
          <c:showLegendKey val="0"/>
          <c:showVal val="1"/>
          <c:showCatName val="0"/>
          <c:showSerName val="0"/>
          <c:showPercent val="0"/>
          <c:showBubbleSize val="0"/>
        </c:dLbls>
        <c:gapWidth val="30"/>
        <c:axId val="585920152"/>
        <c:axId val="585922672"/>
      </c:barChart>
      <c:catAx>
        <c:axId val="585920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5922672"/>
        <c:crosses val="autoZero"/>
        <c:auto val="1"/>
        <c:lblAlgn val="ctr"/>
        <c:lblOffset val="100"/>
        <c:noMultiLvlLbl val="0"/>
      </c:catAx>
      <c:valAx>
        <c:axId val="5859226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592015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Care Representative Dashboard.xlsx]Pivot!reps pivot</c:name>
    <c:fmtId val="2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Amount</a:t>
            </a:r>
            <a:r>
              <a:rPr lang="en-US" b="1" baseline="0">
                <a:solidFill>
                  <a:schemeClr val="tx1"/>
                </a:solidFill>
              </a:rPr>
              <a:t> Earned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A1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Pivot!$B$43</c:f>
              <c:strCache>
                <c:ptCount val="1"/>
                <c:pt idx="0">
                  <c:v>Total</c:v>
                </c:pt>
              </c:strCache>
            </c:strRef>
          </c:tx>
          <c:spPr>
            <a:solidFill>
              <a:srgbClr val="9A1D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5"/>
                <c:pt idx="0">
                  <c:v>R05</c:v>
                </c:pt>
                <c:pt idx="1">
                  <c:v>R04</c:v>
                </c:pt>
                <c:pt idx="2">
                  <c:v>R03</c:v>
                </c:pt>
                <c:pt idx="3">
                  <c:v>R02</c:v>
                </c:pt>
                <c:pt idx="4">
                  <c:v>R01</c:v>
                </c:pt>
              </c:strCache>
            </c:strRef>
          </c:cat>
          <c:val>
            <c:numRef>
              <c:f>Pivot!$B$44:$B$49</c:f>
              <c:numCache>
                <c:formatCode>General</c:formatCode>
                <c:ptCount val="5"/>
                <c:pt idx="0">
                  <c:v>20104</c:v>
                </c:pt>
                <c:pt idx="1">
                  <c:v>16651</c:v>
                </c:pt>
                <c:pt idx="2">
                  <c:v>20872</c:v>
                </c:pt>
                <c:pt idx="3">
                  <c:v>20581</c:v>
                </c:pt>
                <c:pt idx="4">
                  <c:v>18415</c:v>
                </c:pt>
              </c:numCache>
            </c:numRef>
          </c:val>
          <c:extLst>
            <c:ext xmlns:c16="http://schemas.microsoft.com/office/drawing/2014/chart" uri="{C3380CC4-5D6E-409C-BE32-E72D297353CC}">
              <c16:uniqueId val="{00000000-2D3E-456E-9EDD-EF30DEC43FE4}"/>
            </c:ext>
          </c:extLst>
        </c:ser>
        <c:dLbls>
          <c:dLblPos val="outEnd"/>
          <c:showLegendKey val="0"/>
          <c:showVal val="1"/>
          <c:showCatName val="0"/>
          <c:showSerName val="0"/>
          <c:showPercent val="0"/>
          <c:showBubbleSize val="0"/>
        </c:dLbls>
        <c:gapWidth val="60"/>
        <c:axId val="588773408"/>
        <c:axId val="450337536"/>
      </c:barChart>
      <c:catAx>
        <c:axId val="58877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0337536"/>
        <c:crosses val="autoZero"/>
        <c:auto val="1"/>
        <c:lblAlgn val="ctr"/>
        <c:lblOffset val="100"/>
        <c:noMultiLvlLbl val="0"/>
      </c:catAx>
      <c:valAx>
        <c:axId val="45033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877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Care Representative Dashboard.xlsx]Pivot!PivotTable6</c:name>
    <c:fmtId val="3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Call</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01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Pivot!$I$43</c:f>
              <c:strCache>
                <c:ptCount val="1"/>
                <c:pt idx="0">
                  <c:v>Total</c:v>
                </c:pt>
              </c:strCache>
            </c:strRef>
          </c:tx>
          <c:spPr>
            <a:solidFill>
              <a:srgbClr val="501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Pivot!$H$44:$H$49</c:f>
              <c:strCache>
                <c:ptCount val="5"/>
                <c:pt idx="0">
                  <c:v>R05</c:v>
                </c:pt>
                <c:pt idx="1">
                  <c:v>R04</c:v>
                </c:pt>
                <c:pt idx="2">
                  <c:v>R03</c:v>
                </c:pt>
                <c:pt idx="3">
                  <c:v>R02</c:v>
                </c:pt>
                <c:pt idx="4">
                  <c:v>R01</c:v>
                </c:pt>
              </c:strCache>
            </c:strRef>
          </c:cat>
          <c:val>
            <c:numRef>
              <c:f>Pivot!$I$44:$I$49</c:f>
              <c:numCache>
                <c:formatCode>#,##0</c:formatCode>
                <c:ptCount val="5"/>
                <c:pt idx="0">
                  <c:v>200</c:v>
                </c:pt>
                <c:pt idx="1">
                  <c:v>186</c:v>
                </c:pt>
                <c:pt idx="2">
                  <c:v>207</c:v>
                </c:pt>
                <c:pt idx="3">
                  <c:v>218</c:v>
                </c:pt>
                <c:pt idx="4">
                  <c:v>189</c:v>
                </c:pt>
              </c:numCache>
            </c:numRef>
          </c:val>
          <c:extLst>
            <c:ext xmlns:c16="http://schemas.microsoft.com/office/drawing/2014/chart" uri="{C3380CC4-5D6E-409C-BE32-E72D297353CC}">
              <c16:uniqueId val="{00000000-4F2C-4369-9022-C4D79CEDB368}"/>
            </c:ext>
          </c:extLst>
        </c:ser>
        <c:dLbls>
          <c:dLblPos val="outEnd"/>
          <c:showLegendKey val="0"/>
          <c:showVal val="1"/>
          <c:showCatName val="0"/>
          <c:showSerName val="0"/>
          <c:showPercent val="0"/>
          <c:showBubbleSize val="0"/>
        </c:dLbls>
        <c:gapWidth val="60"/>
        <c:axId val="626838776"/>
        <c:axId val="626837696"/>
      </c:barChart>
      <c:catAx>
        <c:axId val="62683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6837696"/>
        <c:crosses val="autoZero"/>
        <c:auto val="1"/>
        <c:lblAlgn val="ctr"/>
        <c:lblOffset val="100"/>
        <c:noMultiLvlLbl val="0"/>
      </c:catAx>
      <c:valAx>
        <c:axId val="6268376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683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Care Representative Dashboard.xlsx]Pivot!gender</c:name>
    <c:fmtId val="4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Male/Female</a:t>
            </a:r>
            <a:r>
              <a:rPr lang="en-IN" b="1" baseline="0">
                <a:solidFill>
                  <a:schemeClr val="tx1"/>
                </a:solidFill>
              </a:rPr>
              <a:t> Callers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s>
    <c:plotArea>
      <c:layout>
        <c:manualLayout>
          <c:layoutTarget val="inner"/>
          <c:xMode val="edge"/>
          <c:yMode val="edge"/>
          <c:x val="0.11960354879064433"/>
          <c:y val="8.8510608641109517E-2"/>
          <c:w val="0.77107761527391072"/>
          <c:h val="0.81755750793851301"/>
        </c:manualLayout>
      </c:layout>
      <c:barChart>
        <c:barDir val="col"/>
        <c:grouping val="stacked"/>
        <c:varyColors val="0"/>
        <c:ser>
          <c:idx val="0"/>
          <c:order val="0"/>
          <c:tx>
            <c:strRef>
              <c:f>Pivot!$B$53:$B$54</c:f>
              <c:strCache>
                <c:ptCount val="1"/>
                <c:pt idx="0">
                  <c:v>Female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Pivot!$A$55:$A$58</c:f>
              <c:strCache>
                <c:ptCount val="3"/>
                <c:pt idx="0">
                  <c:v>Cincinnati</c:v>
                </c:pt>
                <c:pt idx="1">
                  <c:v>Cleveland</c:v>
                </c:pt>
                <c:pt idx="2">
                  <c:v>Columbus</c:v>
                </c:pt>
              </c:strCache>
            </c:strRef>
          </c:cat>
          <c:val>
            <c:numRef>
              <c:f>Pivot!$B$55:$B$58</c:f>
              <c:numCache>
                <c:formatCode>#,##0</c:formatCode>
                <c:ptCount val="3"/>
                <c:pt idx="0">
                  <c:v>144</c:v>
                </c:pt>
                <c:pt idx="1">
                  <c:v>326</c:v>
                </c:pt>
                <c:pt idx="2">
                  <c:v>129</c:v>
                </c:pt>
              </c:numCache>
            </c:numRef>
          </c:val>
          <c:extLst>
            <c:ext xmlns:c16="http://schemas.microsoft.com/office/drawing/2014/chart" uri="{C3380CC4-5D6E-409C-BE32-E72D297353CC}">
              <c16:uniqueId val="{00000000-BE96-4908-B10F-C25DB1C61895}"/>
            </c:ext>
          </c:extLst>
        </c:ser>
        <c:ser>
          <c:idx val="1"/>
          <c:order val="1"/>
          <c:tx>
            <c:strRef>
              <c:f>Pivot!$C$53:$C$54</c:f>
              <c:strCache>
                <c:ptCount val="1"/>
                <c:pt idx="0">
                  <c:v>Male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Pivot!$A$55:$A$58</c:f>
              <c:strCache>
                <c:ptCount val="3"/>
                <c:pt idx="0">
                  <c:v>Cincinnati</c:v>
                </c:pt>
                <c:pt idx="1">
                  <c:v>Cleveland</c:v>
                </c:pt>
                <c:pt idx="2">
                  <c:v>Columbus</c:v>
                </c:pt>
              </c:strCache>
            </c:strRef>
          </c:cat>
          <c:val>
            <c:numRef>
              <c:f>Pivot!$C$55:$C$58</c:f>
              <c:numCache>
                <c:formatCode>#,##0</c:formatCode>
                <c:ptCount val="3"/>
                <c:pt idx="0">
                  <c:v>132</c:v>
                </c:pt>
                <c:pt idx="1">
                  <c:v>63</c:v>
                </c:pt>
                <c:pt idx="2">
                  <c:v>206</c:v>
                </c:pt>
              </c:numCache>
            </c:numRef>
          </c:val>
          <c:extLst>
            <c:ext xmlns:c16="http://schemas.microsoft.com/office/drawing/2014/chart" uri="{C3380CC4-5D6E-409C-BE32-E72D297353CC}">
              <c16:uniqueId val="{00000001-BE96-4908-B10F-C25DB1C61895}"/>
            </c:ext>
          </c:extLst>
        </c:ser>
        <c:dLbls>
          <c:showLegendKey val="0"/>
          <c:showVal val="0"/>
          <c:showCatName val="0"/>
          <c:showSerName val="0"/>
          <c:showPercent val="0"/>
          <c:showBubbleSize val="0"/>
        </c:dLbls>
        <c:gapWidth val="25"/>
        <c:overlap val="100"/>
        <c:axId val="852489664"/>
        <c:axId val="852488584"/>
      </c:barChart>
      <c:catAx>
        <c:axId val="852489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2488584"/>
        <c:crosses val="autoZero"/>
        <c:auto val="1"/>
        <c:lblAlgn val="ctr"/>
        <c:lblOffset val="100"/>
        <c:noMultiLvlLbl val="0"/>
      </c:catAx>
      <c:valAx>
        <c:axId val="852488584"/>
        <c:scaling>
          <c:orientation val="minMax"/>
        </c:scaling>
        <c:delete val="1"/>
        <c:axPos val="l"/>
        <c:numFmt formatCode="#,##0" sourceLinked="1"/>
        <c:majorTickMark val="none"/>
        <c:minorTickMark val="none"/>
        <c:tickLblPos val="nextTo"/>
        <c:crossAx val="8524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Care Representative Dashboard.xlsx]Pivot!histogram</c:name>
    <c:fmtId val="4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s>
    <c:plotArea>
      <c:layout/>
      <c:barChart>
        <c:barDir val="col"/>
        <c:grouping val="stacked"/>
        <c:varyColors val="0"/>
        <c:ser>
          <c:idx val="0"/>
          <c:order val="0"/>
          <c:tx>
            <c:strRef>
              <c:f>Pivot!$B$61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Pivot!$A$62:$A$68</c:f>
              <c:strCache>
                <c:ptCount val="6"/>
                <c:pt idx="0">
                  <c:v>0</c:v>
                </c:pt>
                <c:pt idx="1">
                  <c:v>1</c:v>
                </c:pt>
                <c:pt idx="2">
                  <c:v>2</c:v>
                </c:pt>
                <c:pt idx="3">
                  <c:v>3</c:v>
                </c:pt>
                <c:pt idx="4">
                  <c:v>4</c:v>
                </c:pt>
                <c:pt idx="5">
                  <c:v>5</c:v>
                </c:pt>
              </c:strCache>
            </c:strRef>
          </c:cat>
          <c:val>
            <c:numRef>
              <c:f>Pivot!$B$62:$B$68</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4243-4CC8-B28D-4C14402F3F79}"/>
            </c:ext>
          </c:extLst>
        </c:ser>
        <c:dLbls>
          <c:dLblPos val="ctr"/>
          <c:showLegendKey val="0"/>
          <c:showVal val="1"/>
          <c:showCatName val="0"/>
          <c:showSerName val="0"/>
          <c:showPercent val="0"/>
          <c:showBubbleSize val="0"/>
        </c:dLbls>
        <c:gapWidth val="10"/>
        <c:overlap val="100"/>
        <c:axId val="623470752"/>
        <c:axId val="395642624"/>
      </c:barChart>
      <c:catAx>
        <c:axId val="62347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42624"/>
        <c:crosses val="autoZero"/>
        <c:auto val="1"/>
        <c:lblAlgn val="ctr"/>
        <c:lblOffset val="100"/>
        <c:noMultiLvlLbl val="0"/>
      </c:catAx>
      <c:valAx>
        <c:axId val="395642624"/>
        <c:scaling>
          <c:orientation val="minMax"/>
        </c:scaling>
        <c:delete val="0"/>
        <c:axPos val="l"/>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7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121920</xdr:rowOff>
    </xdr:from>
    <xdr:to>
      <xdr:col>3</xdr:col>
      <xdr:colOff>396060</xdr:colOff>
      <xdr:row>7</xdr:row>
      <xdr:rowOff>119100</xdr:rowOff>
    </xdr:to>
    <xdr:sp macro="" textlink="Pivot!A4">
      <xdr:nvSpPr>
        <xdr:cNvPr id="2" name="Rectangle 1">
          <a:extLst>
            <a:ext uri="{FF2B5EF4-FFF2-40B4-BE49-F238E27FC236}">
              <a16:creationId xmlns:a16="http://schemas.microsoft.com/office/drawing/2014/main" id="{32A804FE-98DA-903F-1ADE-C6AC740D8C76}"/>
            </a:ext>
          </a:extLst>
        </xdr:cNvPr>
        <xdr:cNvSpPr/>
      </xdr:nvSpPr>
      <xdr:spPr>
        <a:xfrm>
          <a:off x="152400" y="121920"/>
          <a:ext cx="1445275" cy="1228103"/>
        </a:xfrm>
        <a:prstGeom prst="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2AFB96B6-BACF-4B4E-BE66-0F4A4E109210}" type="TxLink">
            <a:rPr lang="en-US" sz="2000" b="1" i="0" u="none" strike="noStrike">
              <a:solidFill>
                <a:schemeClr val="bg1"/>
              </a:solidFill>
              <a:latin typeface="Arial"/>
              <a:cs typeface="Arial"/>
            </a:rPr>
            <a:pPr algn="ctr"/>
            <a:t>1,000</a:t>
          </a:fld>
          <a:endParaRPr lang="en-IN" sz="2000" b="1">
            <a:solidFill>
              <a:schemeClr val="bg1"/>
            </a:solidFill>
          </a:endParaRPr>
        </a:p>
      </xdr:txBody>
    </xdr:sp>
    <xdr:clientData/>
  </xdr:twoCellAnchor>
  <xdr:twoCellAnchor>
    <xdr:from>
      <xdr:col>2</xdr:col>
      <xdr:colOff>106680</xdr:colOff>
      <xdr:row>1</xdr:row>
      <xdr:rowOff>83820</xdr:rowOff>
    </xdr:from>
    <xdr:to>
      <xdr:col>2</xdr:col>
      <xdr:colOff>632460</xdr:colOff>
      <xdr:row>2</xdr:row>
      <xdr:rowOff>106680</xdr:rowOff>
    </xdr:to>
    <xdr:sp macro="" textlink="">
      <xdr:nvSpPr>
        <xdr:cNvPr id="3" name="TextBox 2">
          <a:extLst>
            <a:ext uri="{FF2B5EF4-FFF2-40B4-BE49-F238E27FC236}">
              <a16:creationId xmlns:a16="http://schemas.microsoft.com/office/drawing/2014/main" id="{D7E803A9-E408-2A37-AE02-145B4A4F5422}"/>
            </a:ext>
          </a:extLst>
        </xdr:cNvPr>
        <xdr:cNvSpPr txBox="1"/>
      </xdr:nvSpPr>
      <xdr:spPr>
        <a:xfrm>
          <a:off x="632460" y="259080"/>
          <a:ext cx="5257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Calls</a:t>
          </a:r>
        </a:p>
      </xdr:txBody>
    </xdr:sp>
    <xdr:clientData/>
  </xdr:twoCellAnchor>
  <xdr:twoCellAnchor editAs="oneCell">
    <xdr:from>
      <xdr:col>1</xdr:col>
      <xdr:colOff>224692</xdr:colOff>
      <xdr:row>1</xdr:row>
      <xdr:rowOff>54318</xdr:rowOff>
    </xdr:from>
    <xdr:to>
      <xdr:col>2</xdr:col>
      <xdr:colOff>158091</xdr:colOff>
      <xdr:row>2</xdr:row>
      <xdr:rowOff>100038</xdr:rowOff>
    </xdr:to>
    <xdr:pic>
      <xdr:nvPicPr>
        <xdr:cNvPr id="4" name="Graphic 3" descr="Receiver with solid fill">
          <a:extLst>
            <a:ext uri="{FF2B5EF4-FFF2-40B4-BE49-F238E27FC236}">
              <a16:creationId xmlns:a16="http://schemas.microsoft.com/office/drawing/2014/main" id="{5B9759CB-7986-4F40-B10E-C385B247C4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154" y="230164"/>
          <a:ext cx="226475" cy="221566"/>
        </a:xfrm>
        <a:prstGeom prst="rect">
          <a:avLst/>
        </a:prstGeom>
      </xdr:spPr>
    </xdr:pic>
    <xdr:clientData/>
  </xdr:twoCellAnchor>
  <xdr:twoCellAnchor>
    <xdr:from>
      <xdr:col>1</xdr:col>
      <xdr:colOff>153768</xdr:colOff>
      <xdr:row>5</xdr:row>
      <xdr:rowOff>87922</xdr:rowOff>
    </xdr:from>
    <xdr:to>
      <xdr:col>3</xdr:col>
      <xdr:colOff>97693</xdr:colOff>
      <xdr:row>6</xdr:row>
      <xdr:rowOff>166076</xdr:rowOff>
    </xdr:to>
    <xdr:sp macro="" textlink="Pivot!A10">
      <xdr:nvSpPr>
        <xdr:cNvPr id="5" name="TextBox 4">
          <a:extLst>
            <a:ext uri="{FF2B5EF4-FFF2-40B4-BE49-F238E27FC236}">
              <a16:creationId xmlns:a16="http://schemas.microsoft.com/office/drawing/2014/main" id="{FDBB882A-2ACA-EB8D-6CB9-C0F45842A8ED}"/>
            </a:ext>
          </a:extLst>
        </xdr:cNvPr>
        <xdr:cNvSpPr txBox="1"/>
      </xdr:nvSpPr>
      <xdr:spPr>
        <a:xfrm>
          <a:off x="388230" y="967153"/>
          <a:ext cx="911078" cy="254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A8865A-A819-4665-B162-80F8D3CDDED0}" type="TxLink">
            <a:rPr lang="en-US" sz="1100" b="1" i="0" u="none" strike="noStrike">
              <a:solidFill>
                <a:schemeClr val="bg1"/>
              </a:solidFill>
              <a:latin typeface="Arial"/>
              <a:cs typeface="Arial"/>
            </a:rPr>
            <a:pPr algn="ctr"/>
            <a:t>1,000</a:t>
          </a:fld>
          <a:endParaRPr lang="en-IN" sz="1100" b="1">
            <a:solidFill>
              <a:schemeClr val="bg1"/>
            </a:solidFill>
          </a:endParaRPr>
        </a:p>
      </xdr:txBody>
    </xdr:sp>
    <xdr:clientData/>
  </xdr:twoCellAnchor>
  <xdr:twoCellAnchor>
    <xdr:from>
      <xdr:col>0</xdr:col>
      <xdr:colOff>152400</xdr:colOff>
      <xdr:row>15</xdr:row>
      <xdr:rowOff>83820</xdr:rowOff>
    </xdr:from>
    <xdr:to>
      <xdr:col>3</xdr:col>
      <xdr:colOff>396060</xdr:colOff>
      <xdr:row>22</xdr:row>
      <xdr:rowOff>81000</xdr:rowOff>
    </xdr:to>
    <xdr:sp macro="" textlink="Pivot!C4">
      <xdr:nvSpPr>
        <xdr:cNvPr id="6" name="Rectangle 5">
          <a:extLst>
            <a:ext uri="{FF2B5EF4-FFF2-40B4-BE49-F238E27FC236}">
              <a16:creationId xmlns:a16="http://schemas.microsoft.com/office/drawing/2014/main" id="{89C90DD6-9B8A-4178-99D0-54C65B1A6756}"/>
            </a:ext>
          </a:extLst>
        </xdr:cNvPr>
        <xdr:cNvSpPr/>
      </xdr:nvSpPr>
      <xdr:spPr>
        <a:xfrm>
          <a:off x="152400" y="2721512"/>
          <a:ext cx="1445275" cy="1228103"/>
        </a:xfrm>
        <a:prstGeom prst="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408F34F1-F990-418A-85CD-95F18415695D}" type="TxLink">
            <a:rPr lang="en-US" sz="2000" b="1" i="0" u="none" strike="noStrike">
              <a:solidFill>
                <a:schemeClr val="bg1"/>
              </a:solidFill>
              <a:latin typeface="Arial"/>
              <a:cs typeface="Arial"/>
            </a:rPr>
            <a:t>89,850</a:t>
          </a:fld>
          <a:endParaRPr lang="en-IN" sz="2000" b="1">
            <a:solidFill>
              <a:schemeClr val="bg1"/>
            </a:solidFill>
          </a:endParaRPr>
        </a:p>
      </xdr:txBody>
    </xdr:sp>
    <xdr:clientData/>
  </xdr:twoCellAnchor>
  <xdr:twoCellAnchor>
    <xdr:from>
      <xdr:col>1</xdr:col>
      <xdr:colOff>243449</xdr:colOff>
      <xdr:row>16</xdr:row>
      <xdr:rowOff>35951</xdr:rowOff>
    </xdr:from>
    <xdr:to>
      <xdr:col>3</xdr:col>
      <xdr:colOff>68386</xdr:colOff>
      <xdr:row>17</xdr:row>
      <xdr:rowOff>78154</xdr:rowOff>
    </xdr:to>
    <xdr:sp macro="" textlink="">
      <xdr:nvSpPr>
        <xdr:cNvPr id="7" name="TextBox 6">
          <a:extLst>
            <a:ext uri="{FF2B5EF4-FFF2-40B4-BE49-F238E27FC236}">
              <a16:creationId xmlns:a16="http://schemas.microsoft.com/office/drawing/2014/main" id="{1DD83C51-46D5-4157-8E1B-DA3B0E8B99AD}"/>
            </a:ext>
          </a:extLst>
        </xdr:cNvPr>
        <xdr:cNvSpPr txBox="1"/>
      </xdr:nvSpPr>
      <xdr:spPr>
        <a:xfrm>
          <a:off x="477911" y="2849489"/>
          <a:ext cx="792090" cy="21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Duration</a:t>
          </a:r>
        </a:p>
      </xdr:txBody>
    </xdr:sp>
    <xdr:clientData/>
  </xdr:twoCellAnchor>
  <xdr:twoCellAnchor>
    <xdr:from>
      <xdr:col>1</xdr:col>
      <xdr:colOff>212383</xdr:colOff>
      <xdr:row>20</xdr:row>
      <xdr:rowOff>48846</xdr:rowOff>
    </xdr:from>
    <xdr:to>
      <xdr:col>3</xdr:col>
      <xdr:colOff>156308</xdr:colOff>
      <xdr:row>21</xdr:row>
      <xdr:rowOff>156698</xdr:rowOff>
    </xdr:to>
    <xdr:sp macro="" textlink="Pivot!C10">
      <xdr:nvSpPr>
        <xdr:cNvPr id="9" name="TextBox 8">
          <a:extLst>
            <a:ext uri="{FF2B5EF4-FFF2-40B4-BE49-F238E27FC236}">
              <a16:creationId xmlns:a16="http://schemas.microsoft.com/office/drawing/2014/main" id="{694AA118-CF60-422F-9EEE-3715120C348C}"/>
            </a:ext>
          </a:extLst>
        </xdr:cNvPr>
        <xdr:cNvSpPr txBox="1"/>
      </xdr:nvSpPr>
      <xdr:spPr>
        <a:xfrm>
          <a:off x="446845" y="3565769"/>
          <a:ext cx="911078" cy="28369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B26BD3-C7CA-49B8-A280-9025ECD88EDB}" type="TxLink">
            <a:rPr lang="en-US" sz="1100" b="1" i="0" u="none" strike="noStrike">
              <a:solidFill>
                <a:schemeClr val="bg1"/>
              </a:solidFill>
              <a:latin typeface="Arial"/>
              <a:cs typeface="Arial"/>
            </a:rPr>
            <a:t>89,850</a:t>
          </a:fld>
          <a:endParaRPr lang="en-IN" sz="1100" b="1">
            <a:solidFill>
              <a:schemeClr val="bg1"/>
            </a:solidFill>
          </a:endParaRPr>
        </a:p>
      </xdr:txBody>
    </xdr:sp>
    <xdr:clientData/>
  </xdr:twoCellAnchor>
  <xdr:twoCellAnchor>
    <xdr:from>
      <xdr:col>0</xdr:col>
      <xdr:colOff>152400</xdr:colOff>
      <xdr:row>8</xdr:row>
      <xdr:rowOff>15240</xdr:rowOff>
    </xdr:from>
    <xdr:to>
      <xdr:col>3</xdr:col>
      <xdr:colOff>396060</xdr:colOff>
      <xdr:row>15</xdr:row>
      <xdr:rowOff>12420</xdr:rowOff>
    </xdr:to>
    <xdr:sp macro="" textlink="Pivot!B4">
      <xdr:nvSpPr>
        <xdr:cNvPr id="22" name="Rectangle 21">
          <a:extLst>
            <a:ext uri="{FF2B5EF4-FFF2-40B4-BE49-F238E27FC236}">
              <a16:creationId xmlns:a16="http://schemas.microsoft.com/office/drawing/2014/main" id="{15CD0E3F-5D12-4274-B00D-3601B1DD70D8}"/>
            </a:ext>
          </a:extLst>
        </xdr:cNvPr>
        <xdr:cNvSpPr/>
      </xdr:nvSpPr>
      <xdr:spPr>
        <a:xfrm>
          <a:off x="152400" y="1417320"/>
          <a:ext cx="1440000" cy="1224000"/>
        </a:xfrm>
        <a:prstGeom prst="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E5A81E41-28C7-4095-85D9-E9DC04350290}" type="TxLink">
            <a:rPr lang="en-US" sz="2000" b="1" i="0" u="none" strike="noStrike">
              <a:solidFill>
                <a:schemeClr val="bg1"/>
              </a:solidFill>
              <a:latin typeface="Arial"/>
              <a:cs typeface="Arial"/>
            </a:rPr>
            <a:t>₹ 96,623</a:t>
          </a:fld>
          <a:endParaRPr lang="en-IN" sz="2000" b="1">
            <a:solidFill>
              <a:schemeClr val="bg1"/>
            </a:solidFill>
          </a:endParaRPr>
        </a:p>
      </xdr:txBody>
    </xdr:sp>
    <xdr:clientData/>
  </xdr:twoCellAnchor>
  <xdr:twoCellAnchor>
    <xdr:from>
      <xdr:col>1</xdr:col>
      <xdr:colOff>272756</xdr:colOff>
      <xdr:row>8</xdr:row>
      <xdr:rowOff>162169</xdr:rowOff>
    </xdr:from>
    <xdr:to>
      <xdr:col>3</xdr:col>
      <xdr:colOff>87923</xdr:colOff>
      <xdr:row>10</xdr:row>
      <xdr:rowOff>-1</xdr:rowOff>
    </xdr:to>
    <xdr:sp macro="" textlink="">
      <xdr:nvSpPr>
        <xdr:cNvPr id="23" name="TextBox 22">
          <a:extLst>
            <a:ext uri="{FF2B5EF4-FFF2-40B4-BE49-F238E27FC236}">
              <a16:creationId xmlns:a16="http://schemas.microsoft.com/office/drawing/2014/main" id="{CC5C829A-5240-4999-9463-5AC78DC20CFD}"/>
            </a:ext>
          </a:extLst>
        </xdr:cNvPr>
        <xdr:cNvSpPr txBox="1"/>
      </xdr:nvSpPr>
      <xdr:spPr>
        <a:xfrm>
          <a:off x="507218" y="1568938"/>
          <a:ext cx="782320" cy="189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Amount</a:t>
          </a:r>
        </a:p>
      </xdr:txBody>
    </xdr:sp>
    <xdr:clientData/>
  </xdr:twoCellAnchor>
  <xdr:twoCellAnchor>
    <xdr:from>
      <xdr:col>1</xdr:col>
      <xdr:colOff>173306</xdr:colOff>
      <xdr:row>13</xdr:row>
      <xdr:rowOff>9769</xdr:rowOff>
    </xdr:from>
    <xdr:to>
      <xdr:col>3</xdr:col>
      <xdr:colOff>127000</xdr:colOff>
      <xdr:row>14</xdr:row>
      <xdr:rowOff>97888</xdr:rowOff>
    </xdr:to>
    <xdr:sp macro="" textlink="Pivot!B10">
      <xdr:nvSpPr>
        <xdr:cNvPr id="25" name="TextBox 24">
          <a:extLst>
            <a:ext uri="{FF2B5EF4-FFF2-40B4-BE49-F238E27FC236}">
              <a16:creationId xmlns:a16="http://schemas.microsoft.com/office/drawing/2014/main" id="{B25E0B91-6F88-410D-8813-92E724FD891E}"/>
            </a:ext>
          </a:extLst>
        </xdr:cNvPr>
        <xdr:cNvSpPr txBox="1"/>
      </xdr:nvSpPr>
      <xdr:spPr>
        <a:xfrm>
          <a:off x="407768" y="2295769"/>
          <a:ext cx="920847" cy="26396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44F056-8833-4DC9-9F22-B864DA29A423}" type="TxLink">
            <a:rPr lang="en-US" sz="1100" b="1" i="0" u="none" strike="noStrike">
              <a:solidFill>
                <a:schemeClr val="bg1"/>
              </a:solidFill>
              <a:latin typeface="Arial"/>
              <a:cs typeface="Arial"/>
            </a:rPr>
            <a:t>₹ 96,623</a:t>
          </a:fld>
          <a:endParaRPr lang="en-IN" sz="1100" b="1">
            <a:solidFill>
              <a:schemeClr val="bg1"/>
            </a:solidFill>
          </a:endParaRPr>
        </a:p>
      </xdr:txBody>
    </xdr:sp>
    <xdr:clientData/>
  </xdr:twoCellAnchor>
  <xdr:twoCellAnchor>
    <xdr:from>
      <xdr:col>0</xdr:col>
      <xdr:colOff>160020</xdr:colOff>
      <xdr:row>22</xdr:row>
      <xdr:rowOff>144780</xdr:rowOff>
    </xdr:from>
    <xdr:to>
      <xdr:col>3</xdr:col>
      <xdr:colOff>403680</xdr:colOff>
      <xdr:row>29</xdr:row>
      <xdr:rowOff>141960</xdr:rowOff>
    </xdr:to>
    <xdr:sp macro="" textlink="Pivot!D4">
      <xdr:nvSpPr>
        <xdr:cNvPr id="26" name="Rectangle 25">
          <a:extLst>
            <a:ext uri="{FF2B5EF4-FFF2-40B4-BE49-F238E27FC236}">
              <a16:creationId xmlns:a16="http://schemas.microsoft.com/office/drawing/2014/main" id="{62B1092E-28BF-4AC4-AC94-1D2BE8DD9839}"/>
            </a:ext>
          </a:extLst>
        </xdr:cNvPr>
        <xdr:cNvSpPr/>
      </xdr:nvSpPr>
      <xdr:spPr>
        <a:xfrm>
          <a:off x="160020" y="4013395"/>
          <a:ext cx="1445275" cy="1228103"/>
        </a:xfrm>
        <a:prstGeom prst="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B609AF97-CD9B-4F8F-AD4E-4AE5023EE2A7}" type="TxLink">
            <a:rPr lang="en-US" sz="2000" b="1" i="0" u="none" strike="noStrike">
              <a:solidFill>
                <a:schemeClr val="bg1"/>
              </a:solidFill>
              <a:latin typeface="Arial"/>
              <a:cs typeface="Arial"/>
            </a:rPr>
            <a:t>3.9</a:t>
          </a:fld>
          <a:endParaRPr lang="en-IN" sz="2000" b="1">
            <a:solidFill>
              <a:schemeClr val="bg1"/>
            </a:solidFill>
          </a:endParaRPr>
        </a:p>
      </xdr:txBody>
    </xdr:sp>
    <xdr:clientData/>
  </xdr:twoCellAnchor>
  <xdr:twoCellAnchor>
    <xdr:from>
      <xdr:col>1</xdr:col>
      <xdr:colOff>224692</xdr:colOff>
      <xdr:row>23</xdr:row>
      <xdr:rowOff>48064</xdr:rowOff>
    </xdr:from>
    <xdr:to>
      <xdr:col>3</xdr:col>
      <xdr:colOff>224693</xdr:colOff>
      <xdr:row>24</xdr:row>
      <xdr:rowOff>136769</xdr:rowOff>
    </xdr:to>
    <xdr:sp macro="" textlink="">
      <xdr:nvSpPr>
        <xdr:cNvPr id="27" name="TextBox 26">
          <a:extLst>
            <a:ext uri="{FF2B5EF4-FFF2-40B4-BE49-F238E27FC236}">
              <a16:creationId xmlns:a16="http://schemas.microsoft.com/office/drawing/2014/main" id="{F202AE13-11CE-4CD6-AA14-39FA7B2FF199}"/>
            </a:ext>
          </a:extLst>
        </xdr:cNvPr>
        <xdr:cNvSpPr txBox="1"/>
      </xdr:nvSpPr>
      <xdr:spPr>
        <a:xfrm>
          <a:off x="459154" y="4092526"/>
          <a:ext cx="967154" cy="264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Avg.</a:t>
          </a:r>
          <a:r>
            <a:rPr lang="en-IN" sz="1100" b="1" baseline="0">
              <a:solidFill>
                <a:schemeClr val="bg1"/>
              </a:solidFill>
            </a:rPr>
            <a:t> Rating</a:t>
          </a:r>
          <a:endParaRPr lang="en-IN" sz="1100" b="1">
            <a:solidFill>
              <a:schemeClr val="bg1"/>
            </a:solidFill>
          </a:endParaRPr>
        </a:p>
      </xdr:txBody>
    </xdr:sp>
    <xdr:clientData/>
  </xdr:twoCellAnchor>
  <xdr:twoCellAnchor>
    <xdr:from>
      <xdr:col>1</xdr:col>
      <xdr:colOff>180926</xdr:colOff>
      <xdr:row>27</xdr:row>
      <xdr:rowOff>127000</xdr:rowOff>
    </xdr:from>
    <xdr:to>
      <xdr:col>3</xdr:col>
      <xdr:colOff>117231</xdr:colOff>
      <xdr:row>29</xdr:row>
      <xdr:rowOff>71706</xdr:rowOff>
    </xdr:to>
    <xdr:sp macro="" textlink="Pivot!D10">
      <xdr:nvSpPr>
        <xdr:cNvPr id="29" name="TextBox 28">
          <a:extLst>
            <a:ext uri="{FF2B5EF4-FFF2-40B4-BE49-F238E27FC236}">
              <a16:creationId xmlns:a16="http://schemas.microsoft.com/office/drawing/2014/main" id="{84CC49D0-F93B-47D8-AFC3-CF73D5FA1CDC}"/>
            </a:ext>
          </a:extLst>
        </xdr:cNvPr>
        <xdr:cNvSpPr txBox="1"/>
      </xdr:nvSpPr>
      <xdr:spPr>
        <a:xfrm>
          <a:off x="415388" y="4874846"/>
          <a:ext cx="903458" cy="29639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6DF22B-3EDC-4FD8-A5A9-4E72338B995F}" type="TxLink">
            <a:rPr lang="en-US" sz="1100" b="1" i="0" u="none" strike="noStrike">
              <a:solidFill>
                <a:schemeClr val="bg1"/>
              </a:solidFill>
              <a:latin typeface="Arial"/>
              <a:cs typeface="Arial"/>
            </a:rPr>
            <a:t>3.9</a:t>
          </a:fld>
          <a:endParaRPr lang="en-IN" sz="1100" b="1">
            <a:solidFill>
              <a:schemeClr val="bg1"/>
            </a:solidFill>
          </a:endParaRPr>
        </a:p>
      </xdr:txBody>
    </xdr:sp>
    <xdr:clientData/>
  </xdr:twoCellAnchor>
  <xdr:twoCellAnchor>
    <xdr:from>
      <xdr:col>0</xdr:col>
      <xdr:colOff>160020</xdr:colOff>
      <xdr:row>30</xdr:row>
      <xdr:rowOff>30480</xdr:rowOff>
    </xdr:from>
    <xdr:to>
      <xdr:col>3</xdr:col>
      <xdr:colOff>403680</xdr:colOff>
      <xdr:row>37</xdr:row>
      <xdr:rowOff>27660</xdr:rowOff>
    </xdr:to>
    <xdr:sp macro="" textlink="Pivot!E4">
      <xdr:nvSpPr>
        <xdr:cNvPr id="30" name="Rectangle 29">
          <a:extLst>
            <a:ext uri="{FF2B5EF4-FFF2-40B4-BE49-F238E27FC236}">
              <a16:creationId xmlns:a16="http://schemas.microsoft.com/office/drawing/2014/main" id="{22C7A87E-C1FE-408D-A4FE-96246A73E566}"/>
            </a:ext>
          </a:extLst>
        </xdr:cNvPr>
        <xdr:cNvSpPr/>
      </xdr:nvSpPr>
      <xdr:spPr>
        <a:xfrm>
          <a:off x="160020" y="5288280"/>
          <a:ext cx="1440000" cy="1224000"/>
        </a:xfrm>
        <a:prstGeom prst="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9453BF8F-6CDB-4228-80B6-F6D175B21950}" type="TxLink">
            <a:rPr lang="en-US" sz="2000" b="1" i="0" u="none" strike="noStrike">
              <a:solidFill>
                <a:schemeClr val="bg1"/>
              </a:solidFill>
              <a:latin typeface="Arial"/>
              <a:cs typeface="Arial"/>
            </a:rPr>
            <a:t>307</a:t>
          </a:fld>
          <a:endParaRPr lang="en-IN" sz="2000" b="1">
            <a:solidFill>
              <a:schemeClr val="bg1"/>
            </a:solidFill>
          </a:endParaRPr>
        </a:p>
      </xdr:txBody>
    </xdr:sp>
    <xdr:clientData/>
  </xdr:twoCellAnchor>
  <xdr:twoCellAnchor>
    <xdr:from>
      <xdr:col>1</xdr:col>
      <xdr:colOff>36144</xdr:colOff>
      <xdr:row>30</xdr:row>
      <xdr:rowOff>157871</xdr:rowOff>
    </xdr:from>
    <xdr:to>
      <xdr:col>3</xdr:col>
      <xdr:colOff>341922</xdr:colOff>
      <xdr:row>31</xdr:row>
      <xdr:rowOff>146538</xdr:rowOff>
    </xdr:to>
    <xdr:sp macro="" textlink="">
      <xdr:nvSpPr>
        <xdr:cNvPr id="31" name="TextBox 30">
          <a:extLst>
            <a:ext uri="{FF2B5EF4-FFF2-40B4-BE49-F238E27FC236}">
              <a16:creationId xmlns:a16="http://schemas.microsoft.com/office/drawing/2014/main" id="{2CA186D4-A7CB-496F-856B-C7CF8E604147}"/>
            </a:ext>
          </a:extLst>
        </xdr:cNvPr>
        <xdr:cNvSpPr txBox="1"/>
      </xdr:nvSpPr>
      <xdr:spPr>
        <a:xfrm>
          <a:off x="270606" y="5433256"/>
          <a:ext cx="1272931" cy="16451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Happy</a:t>
          </a:r>
          <a:r>
            <a:rPr lang="en-IN" sz="1100" b="1" baseline="0">
              <a:solidFill>
                <a:schemeClr val="bg1"/>
              </a:solidFill>
            </a:rPr>
            <a:t> Callers</a:t>
          </a:r>
        </a:p>
        <a:p>
          <a:pPr algn="ctr"/>
          <a:endParaRPr lang="en-IN" sz="1100" b="1">
            <a:solidFill>
              <a:schemeClr val="bg1"/>
            </a:solidFill>
          </a:endParaRPr>
        </a:p>
      </xdr:txBody>
    </xdr:sp>
    <xdr:clientData/>
  </xdr:twoCellAnchor>
  <xdr:twoCellAnchor>
    <xdr:from>
      <xdr:col>1</xdr:col>
      <xdr:colOff>171157</xdr:colOff>
      <xdr:row>35</xdr:row>
      <xdr:rowOff>19539</xdr:rowOff>
    </xdr:from>
    <xdr:to>
      <xdr:col>3</xdr:col>
      <xdr:colOff>87924</xdr:colOff>
      <xdr:row>36</xdr:row>
      <xdr:rowOff>74051</xdr:rowOff>
    </xdr:to>
    <xdr:sp macro="" textlink="Pivot!E10">
      <xdr:nvSpPr>
        <xdr:cNvPr id="33" name="TextBox 32">
          <a:extLst>
            <a:ext uri="{FF2B5EF4-FFF2-40B4-BE49-F238E27FC236}">
              <a16:creationId xmlns:a16="http://schemas.microsoft.com/office/drawing/2014/main" id="{605B4CB9-8414-4365-9819-8BD6C38C3718}"/>
            </a:ext>
          </a:extLst>
        </xdr:cNvPr>
        <xdr:cNvSpPr txBox="1"/>
      </xdr:nvSpPr>
      <xdr:spPr>
        <a:xfrm>
          <a:off x="405619" y="6174154"/>
          <a:ext cx="883920" cy="23035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CEAAA8-9DA3-47DC-9EF5-014626252F5E}" type="TxLink">
            <a:rPr lang="en-US" sz="1100" b="1" i="0" u="none" strike="noStrike">
              <a:solidFill>
                <a:schemeClr val="bg1"/>
              </a:solidFill>
              <a:latin typeface="Arial"/>
              <a:cs typeface="Arial"/>
            </a:rPr>
            <a:t>307</a:t>
          </a:fld>
          <a:endParaRPr lang="en-IN" sz="1100" b="1">
            <a:solidFill>
              <a:schemeClr val="bg1"/>
            </a:solidFill>
          </a:endParaRPr>
        </a:p>
      </xdr:txBody>
    </xdr:sp>
    <xdr:clientData/>
  </xdr:twoCellAnchor>
  <xdr:twoCellAnchor editAs="oneCell">
    <xdr:from>
      <xdr:col>1</xdr:col>
      <xdr:colOff>68384</xdr:colOff>
      <xdr:row>15</xdr:row>
      <xdr:rowOff>175845</xdr:rowOff>
    </xdr:from>
    <xdr:to>
      <xdr:col>2</xdr:col>
      <xdr:colOff>39077</xdr:colOff>
      <xdr:row>17</xdr:row>
      <xdr:rowOff>84722</xdr:rowOff>
    </xdr:to>
    <xdr:pic>
      <xdr:nvPicPr>
        <xdr:cNvPr id="34" name="Graphic 33" descr="Hourglass Finished with solid fill">
          <a:extLst>
            <a:ext uri="{FF2B5EF4-FFF2-40B4-BE49-F238E27FC236}">
              <a16:creationId xmlns:a16="http://schemas.microsoft.com/office/drawing/2014/main" id="{1E1667CA-D07E-4BB7-967C-91E0EA1548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2846" y="2813537"/>
          <a:ext cx="263769" cy="260570"/>
        </a:xfrm>
        <a:prstGeom prst="rect">
          <a:avLst/>
        </a:prstGeom>
      </xdr:spPr>
    </xdr:pic>
    <xdr:clientData/>
  </xdr:twoCellAnchor>
  <xdr:twoCellAnchor editAs="oneCell">
    <xdr:from>
      <xdr:col>0</xdr:col>
      <xdr:colOff>195384</xdr:colOff>
      <xdr:row>30</xdr:row>
      <xdr:rowOff>117232</xdr:rowOff>
    </xdr:from>
    <xdr:to>
      <xdr:col>1</xdr:col>
      <xdr:colOff>195384</xdr:colOff>
      <xdr:row>31</xdr:row>
      <xdr:rowOff>170159</xdr:rowOff>
    </xdr:to>
    <xdr:pic>
      <xdr:nvPicPr>
        <xdr:cNvPr id="35" name="Graphic 34" descr="Star-struck face outline with solid fill">
          <a:extLst>
            <a:ext uri="{FF2B5EF4-FFF2-40B4-BE49-F238E27FC236}">
              <a16:creationId xmlns:a16="http://schemas.microsoft.com/office/drawing/2014/main" id="{1D3E256D-4B3A-4925-8C51-669EFDB7EE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5384" y="5392617"/>
          <a:ext cx="234462" cy="228773"/>
        </a:xfrm>
        <a:prstGeom prst="rect">
          <a:avLst/>
        </a:prstGeom>
      </xdr:spPr>
    </xdr:pic>
    <xdr:clientData/>
  </xdr:twoCellAnchor>
  <xdr:twoCellAnchor editAs="oneCell">
    <xdr:from>
      <xdr:col>0</xdr:col>
      <xdr:colOff>224692</xdr:colOff>
      <xdr:row>23</xdr:row>
      <xdr:rowOff>39078</xdr:rowOff>
    </xdr:from>
    <xdr:to>
      <xdr:col>1</xdr:col>
      <xdr:colOff>283308</xdr:colOff>
      <xdr:row>24</xdr:row>
      <xdr:rowOff>149231</xdr:rowOff>
    </xdr:to>
    <xdr:pic>
      <xdr:nvPicPr>
        <xdr:cNvPr id="36" name="Graphic 35" descr="Rating Star with solid fill">
          <a:extLst>
            <a:ext uri="{FF2B5EF4-FFF2-40B4-BE49-F238E27FC236}">
              <a16:creationId xmlns:a16="http://schemas.microsoft.com/office/drawing/2014/main" id="{9E9E484C-9FFC-4876-98FE-CBCBF9BDE8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24692" y="4083540"/>
          <a:ext cx="293078" cy="285999"/>
        </a:xfrm>
        <a:prstGeom prst="rect">
          <a:avLst/>
        </a:prstGeom>
      </xdr:spPr>
    </xdr:pic>
    <xdr:clientData/>
  </xdr:twoCellAnchor>
  <xdr:twoCellAnchor editAs="oneCell">
    <xdr:from>
      <xdr:col>1</xdr:col>
      <xdr:colOff>117231</xdr:colOff>
      <xdr:row>8</xdr:row>
      <xdr:rowOff>146539</xdr:rowOff>
    </xdr:from>
    <xdr:to>
      <xdr:col>2</xdr:col>
      <xdr:colOff>58615</xdr:colOff>
      <xdr:row>10</xdr:row>
      <xdr:rowOff>20774</xdr:rowOff>
    </xdr:to>
    <xdr:pic>
      <xdr:nvPicPr>
        <xdr:cNvPr id="37" name="Graphic 36" descr="Shopping cart with solid fill">
          <a:extLst>
            <a:ext uri="{FF2B5EF4-FFF2-40B4-BE49-F238E27FC236}">
              <a16:creationId xmlns:a16="http://schemas.microsoft.com/office/drawing/2014/main" id="{EF5249E5-DCDB-4E7F-B856-95A94749EAD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51693" y="1553308"/>
          <a:ext cx="234460" cy="225928"/>
        </a:xfrm>
        <a:prstGeom prst="rect">
          <a:avLst/>
        </a:prstGeom>
      </xdr:spPr>
    </xdr:pic>
    <xdr:clientData/>
  </xdr:twoCellAnchor>
  <xdr:twoCellAnchor editAs="oneCell">
    <xdr:from>
      <xdr:col>11</xdr:col>
      <xdr:colOff>136769</xdr:colOff>
      <xdr:row>16</xdr:row>
      <xdr:rowOff>127001</xdr:rowOff>
    </xdr:from>
    <xdr:to>
      <xdr:col>13</xdr:col>
      <xdr:colOff>617415</xdr:colOff>
      <xdr:row>26</xdr:row>
      <xdr:rowOff>113519</xdr:rowOff>
    </xdr:to>
    <mc:AlternateContent xmlns:mc="http://schemas.openxmlformats.org/markup-compatibility/2006">
      <mc:Choice xmlns:a14="http://schemas.microsoft.com/office/drawing/2010/main" Requires="a14">
        <xdr:graphicFrame macro="">
          <xdr:nvGraphicFramePr>
            <xdr:cNvPr id="38" name="Representative">
              <a:extLst>
                <a:ext uri="{FF2B5EF4-FFF2-40B4-BE49-F238E27FC236}">
                  <a16:creationId xmlns:a16="http://schemas.microsoft.com/office/drawing/2014/main" id="{6A2420C4-5934-401E-BD03-737FF9DF371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731000" y="2940539"/>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586155</xdr:colOff>
      <xdr:row>0</xdr:row>
      <xdr:rowOff>107462</xdr:rowOff>
    </xdr:from>
    <xdr:to>
      <xdr:col>10</xdr:col>
      <xdr:colOff>439616</xdr:colOff>
      <xdr:row>14</xdr:row>
      <xdr:rowOff>156308</xdr:rowOff>
    </xdr:to>
    <xdr:graphicFrame macro="">
      <xdr:nvGraphicFramePr>
        <xdr:cNvPr id="39" name="Chart 38">
          <a:extLst>
            <a:ext uri="{FF2B5EF4-FFF2-40B4-BE49-F238E27FC236}">
              <a16:creationId xmlns:a16="http://schemas.microsoft.com/office/drawing/2014/main" id="{ACD8A26A-4AAA-4137-870A-8DC49FF88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390769</xdr:colOff>
      <xdr:row>1</xdr:row>
      <xdr:rowOff>107463</xdr:rowOff>
    </xdr:from>
    <xdr:to>
      <xdr:col>13</xdr:col>
      <xdr:colOff>644769</xdr:colOff>
      <xdr:row>13</xdr:row>
      <xdr:rowOff>146539</xdr:rowOff>
    </xdr:to>
    <xdr:graphicFrame macro="">
      <xdr:nvGraphicFramePr>
        <xdr:cNvPr id="40" name="Chart 39">
          <a:extLst>
            <a:ext uri="{FF2B5EF4-FFF2-40B4-BE49-F238E27FC236}">
              <a16:creationId xmlns:a16="http://schemas.microsoft.com/office/drawing/2014/main" id="{14349CC0-25E7-4926-9FA6-0437438A2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390769</xdr:colOff>
      <xdr:row>16</xdr:row>
      <xdr:rowOff>19538</xdr:rowOff>
    </xdr:from>
    <xdr:to>
      <xdr:col>11</xdr:col>
      <xdr:colOff>107461</xdr:colOff>
      <xdr:row>31</xdr:row>
      <xdr:rowOff>125045</xdr:rowOff>
    </xdr:to>
    <xdr:graphicFrame macro="">
      <xdr:nvGraphicFramePr>
        <xdr:cNvPr id="43" name="Chart 42">
          <a:extLst>
            <a:ext uri="{FF2B5EF4-FFF2-40B4-BE49-F238E27FC236}">
              <a16:creationId xmlns:a16="http://schemas.microsoft.com/office/drawing/2014/main" id="{6FC62E96-4A13-4AAA-AF13-D6B339996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595923</xdr:colOff>
      <xdr:row>16</xdr:row>
      <xdr:rowOff>9770</xdr:rowOff>
    </xdr:from>
    <xdr:to>
      <xdr:col>7</xdr:col>
      <xdr:colOff>244230</xdr:colOff>
      <xdr:row>31</xdr:row>
      <xdr:rowOff>115277</xdr:rowOff>
    </xdr:to>
    <xdr:graphicFrame macro="">
      <xdr:nvGraphicFramePr>
        <xdr:cNvPr id="45" name="Chart 44">
          <a:extLst>
            <a:ext uri="{FF2B5EF4-FFF2-40B4-BE49-F238E27FC236}">
              <a16:creationId xmlns:a16="http://schemas.microsoft.com/office/drawing/2014/main" id="{305C19BA-A1EE-48AE-BC4C-EBC6F53C5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19543</xdr:colOff>
      <xdr:row>1</xdr:row>
      <xdr:rowOff>68384</xdr:rowOff>
    </xdr:from>
    <xdr:to>
      <xdr:col>17</xdr:col>
      <xdr:colOff>293081</xdr:colOff>
      <xdr:row>14</xdr:row>
      <xdr:rowOff>78154</xdr:rowOff>
    </xdr:to>
    <xdr:graphicFrame macro="">
      <xdr:nvGraphicFramePr>
        <xdr:cNvPr id="47" name="Chart 46">
          <a:extLst>
            <a:ext uri="{FF2B5EF4-FFF2-40B4-BE49-F238E27FC236}">
              <a16:creationId xmlns:a16="http://schemas.microsoft.com/office/drawing/2014/main" id="{85376703-832B-4B24-8DC8-97E640B48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244235</xdr:colOff>
      <xdr:row>1</xdr:row>
      <xdr:rowOff>29308</xdr:rowOff>
    </xdr:from>
    <xdr:to>
      <xdr:col>21</xdr:col>
      <xdr:colOff>4</xdr:colOff>
      <xdr:row>14</xdr:row>
      <xdr:rowOff>127000</xdr:rowOff>
    </xdr:to>
    <xdr:graphicFrame macro="">
      <xdr:nvGraphicFramePr>
        <xdr:cNvPr id="48" name="Chart 47">
          <a:extLst>
            <a:ext uri="{FF2B5EF4-FFF2-40B4-BE49-F238E27FC236}">
              <a16:creationId xmlns:a16="http://schemas.microsoft.com/office/drawing/2014/main" id="{87A14F45-C95D-4071-AF62-42C2F5E0E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637689814816" backgroundQuery="1" createdVersion="8" refreshedVersion="8" minRefreshableVersion="3" recordCount="0" supportSubquery="1" supportAdvancedDrill="1" xr:uid="{7F43F834-5FA5-4F1F-B545-B5E26C0A2BD1}">
  <cacheSource type="external" connectionId="1"/>
  <cacheFields count="5">
    <cacheField name="[Measures].[Total Amount]" caption="Total Amount" numFmtId="0" hierarchy="18" level="32767"/>
    <cacheField name="[Measures].[Total Duration]" caption="Total Duration" numFmtId="0" hierarchy="19" level="32767"/>
    <cacheField name="[Measures].[Call count]" caption="Call count" numFmtId="0" hierarchy="17" level="32767"/>
    <cacheField name="[Measures].[Average Rating]" caption="Average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689816666665" backgroundQuery="1" createdVersion="8" refreshedVersion="8" minRefreshableVersion="3" recordCount="0" supportSubquery="1" supportAdvancedDrill="1" xr:uid="{B1C57739-6902-427A-8C97-819ECA4AFE94}">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Measures].[Call count]" caption="Call count" numFmtId="0" hierarchy="17" level="32767"/>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4888657407" backgroundQuery="1" createdVersion="8" refreshedVersion="8" minRefreshableVersion="3" recordCount="0" supportSubquery="1" supportAdvancedDrill="1" xr:uid="{8B94F24A-0A87-433F-A532-14892A866BD1}">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4"/>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867303241" backgroundQuery="1" createdVersion="8" refreshedVersion="8" minRefreshableVersion="3" recordCount="0" supportSubquery="1" supportAdvancedDrill="1" xr:uid="{A5BFC748-668A-45AB-ABB7-1B2776ECE01D}">
  <cacheSource type="external" connectionId="1"/>
  <cacheFields count="6">
    <cacheField name="[Measures].[Total Amount]" caption="Total Amount" numFmtId="0" hierarchy="18" level="32767"/>
    <cacheField name="[Measures].[Total Duration]" caption="Total Duration" numFmtId="0" hierarchy="19" level="32767"/>
    <cacheField name="[Measures].[Call count]" caption="Call count" numFmtId="0" hierarchy="17"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8673842595" backgroundQuery="1" createdVersion="8" refreshedVersion="8" minRefreshableVersion="3" recordCount="0" supportSubquery="1" supportAdvancedDrill="1" xr:uid="{82FB4E81-CAC8-4683-8489-304AC7050F2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6">
        <d v="2023-01-01T00:00:00"/>
        <d v="2023-01-02T00:00:00"/>
        <d v="2023-01-03T00:00:00"/>
        <d v="2023-01-04T00:00:00"/>
        <d v="2023-01-05T00:00:00"/>
        <d v="2023-01-08T00:00:00"/>
        <d v="2023-01-10T00:00:00"/>
        <d v="2023-01-12T00:00:00"/>
        <d v="2023-01-14T00:00:00"/>
        <d v="2023-01-15T00:00:00"/>
        <d v="2023-01-16T00:00:00"/>
        <d v="2023-01-18T00:00:00"/>
        <d v="2023-01-19T00:00:00"/>
        <d v="2023-01-20T00:00:00"/>
        <d v="2023-01-21T00:00:00"/>
        <d v="2023-01-22T00:00:00"/>
        <d v="2023-01-23T00:00:00"/>
        <d v="2023-01-24T00:00:00"/>
        <d v="2023-01-26T00:00:00"/>
        <d v="2023-01-27T00:00:00"/>
        <d v="2023-01-28T00:00:00"/>
        <d v="2023-01-30T00:00:00"/>
        <d v="2023-02-01T00:00:00"/>
        <d v="2023-02-02T00:00:00"/>
        <d v="2023-02-04T00:00:00"/>
        <d v="2023-02-05T00:00:00"/>
        <d v="2023-02-07T00:00:00"/>
        <d v="2023-02-08T00:00:00"/>
        <d v="2023-02-10T00:00:00"/>
        <d v="2023-02-12T00:00:00"/>
        <d v="2023-02-13T00:00:00"/>
        <d v="2023-02-15T00:00:00"/>
        <d v="2023-02-16T00:00:00"/>
        <d v="2023-02-17T00:00:00"/>
        <d v="2023-02-18T00:00:00"/>
        <d v="2023-02-19T00:00:00"/>
        <d v="2023-02-20T00:00:00"/>
        <d v="2023-02-22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9T00:00:00"/>
        <d v="2023-04-20T00:00:00"/>
        <d v="2023-04-21T00:00:00"/>
        <d v="2023-04-22T00:00:00"/>
        <d v="2023-04-23T00:00:00"/>
        <d v="2023-04-24T00:00:00"/>
        <d v="2023-04-25T00:00:00"/>
        <d v="2023-04-26T00:00:00"/>
        <d v="2023-04-28T00:00:00"/>
        <d v="2023-04-29T00:00:00"/>
        <d v="2023-05-01T00:00:00"/>
        <d v="2023-05-02T00:00:00"/>
        <d v="2023-05-03T00:00:00"/>
        <d v="2023-05-04T00:00:00"/>
        <d v="2023-05-08T00:00:00"/>
        <d v="2023-05-09T00:00:00"/>
        <d v="2023-05-11T00:00:00"/>
        <d v="2023-05-12T00:00:00"/>
        <d v="2023-05-14T00:00:00"/>
        <d v="2023-05-15T00:00:00"/>
        <d v="2023-05-16T00:00:00"/>
        <d v="2023-05-17T00:00:00"/>
        <d v="2023-05-18T00:00:00"/>
        <d v="2023-05-19T00:00:00"/>
        <d v="2023-05-21T00:00:00"/>
        <d v="2023-05-22T00:00:00"/>
        <d v="2023-05-24T00:00:00"/>
        <d v="2023-05-25T00:00:00"/>
        <d v="2023-05-26T00:00:00"/>
        <d v="2023-05-28T00:00:00"/>
        <d v="2023-05-30T00:00:00"/>
        <d v="2023-05-31T00:00:00"/>
        <d v="2023-06-01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8T00:00:00"/>
        <d v="2023-06-19T00:00:00"/>
        <d v="2023-06-20T00:00:00"/>
        <d v="2023-06-21T00:00:00"/>
        <d v="2023-06-23T00:00:00"/>
        <d v="2023-06-25T00:00:00"/>
        <d v="2023-06-26T00:00:00"/>
        <d v="2023-06-27T00:00:00"/>
        <d v="2023-07-01T00:00:00"/>
        <d v="2023-07-02T00:00:00"/>
        <d v="2023-07-04T00:00:00"/>
        <d v="2023-07-06T00:00:00"/>
        <d v="2023-07-07T00:00:00"/>
        <d v="2023-07-08T00:00:00"/>
        <d v="2023-07-09T00:00:00"/>
        <d v="2023-07-10T00:00:00"/>
        <d v="2023-07-11T00:00:00"/>
        <d v="2023-07-12T00:00:00"/>
        <d v="2023-07-13T00:00:00"/>
        <d v="2023-07-14T00:00:00"/>
        <d v="2023-07-16T00:00:00"/>
        <d v="2023-07-17T00:00:00"/>
        <d v="2023-07-19T00:00:00"/>
        <d v="2023-07-20T00:00:00"/>
        <d v="2023-07-21T00:00:00"/>
        <d v="2023-07-22T00:00:00"/>
        <d v="2023-07-25T00:00:00"/>
        <d v="2023-07-26T00:00:00"/>
        <d v="2023-07-27T00:00:00"/>
        <d v="2023-07-31T00:00:00"/>
        <d v="2023-08-03T00:00:00"/>
        <d v="2023-08-04T00:00:00"/>
        <d v="2023-08-05T00:00:00"/>
        <d v="2023-08-06T00:00:00"/>
        <d v="2023-08-07T00:00:00"/>
        <d v="2023-08-08T00:00:00"/>
        <d v="2023-08-10T00:00:00"/>
        <d v="2023-08-12T00:00:00"/>
        <d v="2023-08-13T00:00:00"/>
        <d v="2023-08-17T00:00:00"/>
        <d v="2023-08-19T00:00:00"/>
        <d v="2023-08-20T00:00:00"/>
        <d v="2023-08-21T00:00:00"/>
        <d v="2023-08-24T00:00:00"/>
        <d v="2023-08-25T00:00:00"/>
        <d v="2023-08-26T00:00:00"/>
        <d v="2023-08-27T00:00:00"/>
        <d v="2023-08-29T00:00:00"/>
        <d v="2023-08-30T00:00:00"/>
        <d v="2023-08-31T00:00:00"/>
        <d v="2023-09-01T00:00:00"/>
        <d v="2023-09-03T00:00:00"/>
        <d v="2023-09-04T00:00:00"/>
        <d v="2023-09-06T00:00:00"/>
        <d v="2023-09-07T00:00:00"/>
        <d v="2023-09-08T00:00:00"/>
        <d v="2023-09-09T00:00:00"/>
        <d v="2023-09-10T00:00:00"/>
        <d v="2023-09-12T00:00:00"/>
        <d v="2023-09-13T00:00:00"/>
        <d v="2023-09-14T00:00:00"/>
        <d v="2023-09-16T00:00:00"/>
        <d v="2023-09-19T00:00:00"/>
        <d v="2023-09-21T00:00:00"/>
        <d v="2023-09-22T00:00:00"/>
        <d v="2023-09-23T00:00:00"/>
        <d v="2023-09-24T00:00:00"/>
        <d v="2023-09-25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0T00:00:00"/>
        <d v="2023-10-31T00:00:00"/>
        <d v="2023-11-01T00:00:00"/>
        <d v="2023-11-03T00:00:00"/>
        <d v="2023-11-04T00:00:00"/>
        <d v="2023-11-06T00:00:00"/>
        <d v="2023-11-07T00:00:00"/>
        <d v="2023-11-08T00:00:00"/>
        <d v="2023-11-10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8T00:00:00"/>
        <d v="2023-12-09T00:00:00"/>
        <d v="2023-12-13T00:00:00"/>
        <d v="2023-12-15T00:00:00"/>
        <d v="2023-12-17T00:00:00"/>
        <d v="2023-12-19T00:00:00"/>
        <d v="2023-12-20T00:00:00"/>
        <d v="2023-12-21T00:00:00"/>
        <d v="2023-12-24T00:00:00"/>
        <d v="2023-12-25T00:00:00"/>
        <d v="2023-12-26T00:00:00"/>
        <d v="2023-12-28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867465278" backgroundQuery="1" createdVersion="8" refreshedVersion="8" minRefreshableVersion="3" recordCount="0" supportSubquery="1" supportAdvancedDrill="1" xr:uid="{2B997F20-4AE9-44CF-8463-3B089ED42AE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8675231481" backgroundQuery="1" createdVersion="8" refreshedVersion="8" minRefreshableVersion="3" recordCount="0" supportSubquery="1" supportAdvancedDrill="1" xr:uid="{A227347D-61BA-4429-9279-C0876B8F641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Measures].[Sum of Purchase Amount]" caption="Sum of Purchase Amount" numFmtId="0" hierarchy="25"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8675810182" backgroundQuery="1" createdVersion="8" refreshedVersion="8" minRefreshableVersion="3" recordCount="0" supportSubquery="1" supportAdvancedDrill="1" xr:uid="{D54155E2-F8A2-41B0-8B26-2F4A4CD3E4DA}">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718676504628" backgroundQuery="1" createdVersion="8" refreshedVersion="8" minRefreshableVersion="3" recordCount="0" supportSubquery="1" supportAdvancedDrill="1" xr:uid="{542E500F-AD93-469D-96E0-1DFDC98AFC98}">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1.637681134256" backgroundQuery="1" createdVersion="3" refreshedVersion="8" minRefreshableVersion="3" recordCount="0" supportSubquery="1" supportAdvancedDrill="1" xr:uid="{8B956D0B-A69C-4CA7-8865-B14B3131D676}">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2302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EEF3A6-E84A-4A50-9691-43C0DAE3E96A}" name="revenue distribution" cacheId="14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69:G89" firstHeaderRow="1" firstDataRow="2" firstDataCol="1"/>
  <pivotFields count="5">
    <pivotField allDrilled="1" subtotalTop="0" showAll="0" sortType="descending" defaultSubtotal="0" defaultAttributeDrillState="1">
      <items count="7">
        <item x="3"/>
        <item x="2"/>
        <item x="0"/>
        <item x="4"/>
        <item x="6"/>
        <item x="5"/>
        <item x="1"/>
      </items>
    </pivotField>
    <pivotField axis="axisCol" allDrilled="1" subtotalTop="0" showAll="0" sortType="ascending" defaultSubtotal="0" defaultAttributeDrillState="1">
      <items count="5">
        <item x="0"/>
        <item x="1"/>
        <item x="2"/>
        <item x="3"/>
        <item x="4"/>
      </items>
    </pivotField>
    <pivotField axis="axisRow" allDrilled="1" subtotalTop="0" showAll="0" sortType="ascending"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2"/>
    <field x="3"/>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1"/>
  </colFields>
  <colItems count="6">
    <i>
      <x/>
    </i>
    <i>
      <x v="1"/>
    </i>
    <i>
      <x v="2"/>
    </i>
    <i>
      <x v="3"/>
    </i>
    <i>
      <x v="4"/>
    </i>
    <i t="grand">
      <x/>
    </i>
  </colItems>
  <dataFields count="1">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686E9-E3E6-4346-8508-25C3D3AC1281}" name="histogram" cacheId="15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61:B68" firstHeaderRow="1" firstDataRow="1" firstDataCol="1"/>
  <pivotFields count="4">
    <pivotField allDrilled="1" subtotalTop="0" showAll="0" sortType="descending" defaultSubtotal="0" defaultAttributeDrillState="1">
      <items count="7">
        <item x="3"/>
        <item x="2"/>
        <item x="0"/>
        <item x="4"/>
        <item x="6"/>
        <item x="5"/>
        <item x="1"/>
      </items>
    </pivotField>
    <pivotField allDrilled="1" subtotalTop="0" showAll="0" sortType="descending" defaultSubtotal="0" defaultAttributeDrillState="1">
      <items count="5">
        <item x="4"/>
        <item x="3"/>
        <item x="2"/>
        <item x="1"/>
        <item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Items count="1">
    <i/>
  </colItems>
  <dataFields count="1">
    <dataField fld="3" subtotal="count" baseField="0" baseItem="0"/>
  </dataFields>
  <chartFormats count="2">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2" count="1" selected="0">
            <x v="4"/>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C58C0-3150-4939-87A9-05161CB5C941}" name="gender" cacheId="6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53:D58" firstHeaderRow="1" firstDataRow="2" firstDataCol="1"/>
  <pivotFields count="5">
    <pivotField allDrilled="1" subtotalTop="0" showAll="0" sortType="descending" defaultSubtotal="0" defaultAttributeDrillState="1">
      <items count="7">
        <item x="3"/>
        <item x="2"/>
        <item x="0"/>
        <item x="4"/>
        <item x="6"/>
        <item x="5"/>
        <item x="1"/>
      </items>
    </pivotField>
    <pivotField allDrilled="1" subtotalTop="0" showAll="0" sortType="descending" dataSourceSort="1" defaultSubtotal="0" defaultAttributeDrillState="1">
      <items count="5">
        <item x="4"/>
        <item x="3"/>
        <item x="2"/>
        <item x="1"/>
        <item s="1" x="0"/>
      </items>
    </pivotField>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s>
  <rowFields count="1">
    <field x="3"/>
  </rowFields>
  <rowItems count="4">
    <i>
      <x/>
    </i>
    <i>
      <x v="1"/>
    </i>
    <i>
      <x v="2"/>
    </i>
    <i t="grand">
      <x/>
    </i>
  </rowItems>
  <colFields count="1">
    <field x="4"/>
  </colFields>
  <colItems count="3">
    <i>
      <x/>
    </i>
    <i>
      <x v="1"/>
    </i>
    <i t="grand">
      <x/>
    </i>
  </colItems>
  <dataFields count="1">
    <dataField fld="2" subtotal="count" baseField="0" baseItem="0"/>
  </dataFields>
  <chartFormats count="3">
    <chartFormat chart="40" format="4" series="1">
      <pivotArea type="data" outline="0" fieldPosition="0">
        <references count="2">
          <reference field="4294967294" count="1" selected="0">
            <x v="0"/>
          </reference>
          <reference field="4" count="1" selected="0">
            <x v="0"/>
          </reference>
        </references>
      </pivotArea>
    </chartFormat>
    <chartFormat chart="40" format="5" series="1">
      <pivotArea type="data" outline="0" fieldPosition="0">
        <references count="2">
          <reference field="4294967294" count="1" selected="0">
            <x v="0"/>
          </reference>
          <reference field="4" count="1" selected="0">
            <x v="1"/>
          </reference>
        </references>
      </pivotArea>
    </chartFormat>
    <chartFormat chart="40" format="6">
      <pivotArea type="data" outline="0" fieldPosition="0">
        <references count="3">
          <reference field="4294967294" count="1" selected="0">
            <x v="0"/>
          </reference>
          <reference field="3" count="1" selected="0">
            <x v="2"/>
          </reference>
          <reference field="4" count="1" selected="0">
            <x v="1"/>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A8C696-E83E-4B69-AC8D-73B8949023B7}" name="PivotTable6" cacheId="15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H43:I49" firstHeaderRow="1" firstDataRow="1" firstDataCol="1"/>
  <pivotFields count="3">
    <pivotField allDrilled="1" subtotalTop="0" showAll="0" sortType="descending" defaultSubtotal="0" defaultAttributeDrillState="1">
      <items count="7">
        <item x="3"/>
        <item x="2"/>
        <item x="0"/>
        <item x="4"/>
        <item x="6"/>
        <item x="5"/>
        <item x="1"/>
      </items>
    </pivotField>
    <pivotField axis="axisRow" allDrilled="1" subtotalTop="0" showAll="0" sortType="descending" defaultSubtotal="0" defaultAttributeDrillState="1">
      <items count="5">
        <item x="4"/>
        <item x="3"/>
        <item x="2"/>
        <item x="1"/>
        <item x="0"/>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dataFields>
  <chartFormats count="1">
    <chartFormat chart="3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2D638-2F67-4700-86BC-3A85771B246F}" name="reps pivot" cacheId="15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43:B49" firstHeaderRow="1" firstDataRow="1" firstDataCol="1"/>
  <pivotFields count="3">
    <pivotField allDrilled="1" subtotalTop="0" showAll="0" sortType="descending" defaultSubtotal="0" defaultAttributeDrillState="1">
      <items count="7">
        <item x="3"/>
        <item x="2"/>
        <item x="0"/>
        <item x="4"/>
        <item x="6"/>
        <item x="5"/>
        <item x="1"/>
      </items>
    </pivotField>
    <pivotField axis="axisRow" allDrilled="1" subtotalTop="0" showAll="0" sortType="descending" dataSourceSort="1" defaultSubtotal="0" defaultAttributeDrillState="1">
      <items count="5">
        <item x="4"/>
        <item x="3"/>
        <item x="2"/>
        <item x="1"/>
        <item x="0"/>
      </items>
    </pivotField>
    <pivotField dataField="1" subtotalTop="0" showAll="0" defaultSubtotal="0"/>
  </pivotFields>
  <rowFields count="1">
    <field x="1"/>
  </rowFields>
  <rowItems count="6">
    <i>
      <x/>
    </i>
    <i>
      <x v="1"/>
    </i>
    <i>
      <x v="2"/>
    </i>
    <i>
      <x v="3"/>
    </i>
    <i>
      <x v="4"/>
    </i>
    <i t="grand">
      <x/>
    </i>
  </rowItems>
  <colItems count="1">
    <i/>
  </colItems>
  <dataFields count="1">
    <dataField name="Sum of Purchase Amount" fld="2" baseField="0" baseItem="0"/>
  </dataFields>
  <chartFormats count="3">
    <chartFormat chart="19"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 count="1" selected="0">
            <x v="1048832"/>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07B460-0181-47CA-9393-3136DD25E2E6}" name="weekday trend" cacheId="14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2:B40"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3"/>
        <item x="2"/>
        <item x="0"/>
        <item x="4"/>
        <item x="6"/>
        <item x="5"/>
        <item x="1"/>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4"/>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BC6484-C1C6-4232-894B-EB8D3816510F}" name="monthly trend" cacheId="14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B40362-DD63-4CDF-95F1-CEE4D75077B4}" name="Rep Pivot" cacheId="14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2" subtotal="count" baseField="0" baseItem="0"/>
    <dataField fld="0" subtotal="count" baseField="0" baseItem="0"/>
    <dataField fld="1"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2918BE-88DB-42F7-85B5-84038D77720C}" name="summary pivot"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2" subtotal="count" baseField="0" baseItem="0"/>
    <dataField fld="0" subtotal="count" baseField="0" baseItem="0"/>
    <dataField fld="1"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D3DFCB6-1605-4812-A5E0-180AA844E2F6}" sourceName="[calls].[Representative]">
  <pivotTables>
    <pivotTable tabId="4" name="Rep Pivot"/>
    <pivotTable tabId="4" name="monthly trend"/>
    <pivotTable tabId="4" name="weekday trend"/>
    <pivotTable tabId="4" name="reps pivot"/>
    <pivotTable tabId="4" name="PivotTable6"/>
    <pivotTable tabId="4" name="histogram"/>
  </pivotTables>
  <data>
    <olap pivotCacheId="175230208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B6B57D9-264D-4970-937A-1095B2366FB7}" cache="Slicer_Representative" caption="Representativ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D42C84-E9C3-4009-8C39-EFA30E46CAF3}" name="calls" displayName="calls" ref="A1:K1001" totalsRowShown="0">
  <autoFilter ref="A1:K1001" xr:uid="{79D42C84-E9C3-4009-8C39-EFA30E46CAF3}"/>
  <tableColumns count="11">
    <tableColumn id="1" xr3:uid="{0283533E-BA3E-43F1-AE44-65DD1A8005E4}" name="Call number"/>
    <tableColumn id="2" xr3:uid="{334713D3-0DAF-41D7-9BB2-7C1D729C8C92}" name="Customer ID"/>
    <tableColumn id="3" xr3:uid="{C1B932FC-D732-4701-886A-1B6C42C12EED}" name="Duration"/>
    <tableColumn id="4" xr3:uid="{05AE2699-5144-4BF7-B9E9-FF6B202E8DFA}" name="Representative" dataDxfId="13"/>
    <tableColumn id="5" xr3:uid="{8E302190-E676-409E-9A8C-DB30176B30BC}" name="Date of Call" dataDxfId="12"/>
    <tableColumn id="6" xr3:uid="{30EF9C43-52A8-4EA2-A354-68D41C6DE856}" name="Purchase Amount"/>
    <tableColumn id="7" xr3:uid="{73791C05-180B-4162-B8E7-1608CFFD89E2}" name="Satisfaction Rating"/>
    <tableColumn id="8" xr3:uid="{1900D047-E0C7-4B17-A11B-03265150A3C0}" name="FY" dataDxfId="11">
      <calculatedColumnFormula>IF(MONTH(calls[[#This Row],[Date of Call]])&lt;=6, YEAR(calls[[#This Row],[Date of Call]]), YEAR(calls[[#This Row],[Date of Call]])+1)</calculatedColumnFormula>
    </tableColumn>
    <tableColumn id="9" xr3:uid="{49F33F2B-D8E0-4B4B-B247-8C2E6AA61531}" name="Day of week" dataDxfId="10">
      <calculatedColumnFormula>TEXT(calls[[#This Row],[Date of Call]],"DDDD")</calculatedColumnFormula>
    </tableColumn>
    <tableColumn id="10" xr3:uid="{BD20C00F-E9C6-4709-AA37-767A5DD3F449}"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8C0A3031-A0A4-4A61-B8F3-C8B80C23397C}"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22EADC-A31D-4C87-AD99-0892080CDAC2}" name="customers" displayName="customers" ref="M1:P16" totalsRowShown="0" headerRowDxfId="7" headerRowBorderDxfId="5" tableBorderDxfId="6" totalsRowBorderDxfId="4">
  <autoFilter ref="M1:P16" xr:uid="{5022EADC-A31D-4C87-AD99-0892080CDAC2}"/>
  <tableColumns count="4">
    <tableColumn id="1" xr3:uid="{00C42766-7C3B-4F2B-B309-3A50417289BE}" name="Customer ID" dataDxfId="3"/>
    <tableColumn id="2" xr3:uid="{0EB34BA7-88F4-42EE-BF3B-C50FF68F5249}" name="Gedner" dataDxfId="2"/>
    <tableColumn id="3" xr3:uid="{444FED5B-D957-411F-95AC-AE9FB0AED783}" name="Age" dataDxfId="1"/>
    <tableColumn id="4" xr3:uid="{2AABA65F-C1DE-4C5D-A00C-325E53C7D5ED}" name="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ECD57-3AAF-4371-AD20-223A01F02878}">
  <dimension ref="O18:U36"/>
  <sheetViews>
    <sheetView tabSelected="1" zoomScale="78" zoomScaleNormal="78" workbookViewId="0">
      <selection activeCell="M32" sqref="M32"/>
    </sheetView>
  </sheetViews>
  <sheetFormatPr defaultRowHeight="13.8" x14ac:dyDescent="0.25"/>
  <cols>
    <col min="1" max="1" width="3.09765625" style="23" customWidth="1"/>
    <col min="2" max="2" width="3.796875" style="23" customWidth="1"/>
    <col min="3" max="15" width="8.796875" style="23"/>
    <col min="16" max="21" width="10.59765625" style="23" bestFit="1" customWidth="1"/>
    <col min="22" max="16384" width="8.796875" style="23"/>
  </cols>
  <sheetData>
    <row r="18" spans="15:21" x14ac:dyDescent="0.25">
      <c r="O18" s="25"/>
      <c r="P18" s="26" t="s">
        <v>23</v>
      </c>
      <c r="Q18" s="26" t="s">
        <v>18</v>
      </c>
      <c r="R18" s="26" t="s">
        <v>32</v>
      </c>
      <c r="S18" s="26" t="s">
        <v>28</v>
      </c>
      <c r="T18" s="26" t="s">
        <v>13</v>
      </c>
      <c r="U18" s="26" t="s">
        <v>1068</v>
      </c>
    </row>
    <row r="19" spans="15:21" x14ac:dyDescent="0.25">
      <c r="O19" s="26" t="str">
        <f>Pivot!A71</f>
        <v>Cincinnati</v>
      </c>
      <c r="P19" s="29"/>
      <c r="Q19" s="29"/>
      <c r="R19" s="29"/>
      <c r="S19" s="29"/>
      <c r="T19" s="29"/>
      <c r="U19" s="29"/>
    </row>
    <row r="20" spans="15:21" x14ac:dyDescent="0.25">
      <c r="O20" s="27" t="str">
        <f>Pivot!A72</f>
        <v>C0003</v>
      </c>
      <c r="P20" s="30">
        <f>Pivot!B72</f>
        <v>891</v>
      </c>
      <c r="Q20" s="30">
        <f>Pivot!C72</f>
        <v>1332</v>
      </c>
      <c r="R20" s="30">
        <f>Pivot!D72</f>
        <v>1282</v>
      </c>
      <c r="S20" s="30">
        <f>Pivot!E72</f>
        <v>739</v>
      </c>
      <c r="T20" s="30">
        <f>Pivot!F72</f>
        <v>560</v>
      </c>
      <c r="U20" s="30">
        <f>Pivot!G72</f>
        <v>4804</v>
      </c>
    </row>
    <row r="21" spans="15:21" x14ac:dyDescent="0.25">
      <c r="O21" s="27" t="str">
        <f>Pivot!A73</f>
        <v>C0004</v>
      </c>
      <c r="P21" s="30">
        <f>Pivot!B73</f>
        <v>1991</v>
      </c>
      <c r="Q21" s="30">
        <f>Pivot!C73</f>
        <v>1886</v>
      </c>
      <c r="R21" s="30">
        <f>Pivot!D73</f>
        <v>1206</v>
      </c>
      <c r="S21" s="30">
        <f>Pivot!E73</f>
        <v>884</v>
      </c>
      <c r="T21" s="30">
        <f>Pivot!F73</f>
        <v>1722</v>
      </c>
      <c r="U21" s="30">
        <f>Pivot!G73</f>
        <v>7689</v>
      </c>
    </row>
    <row r="22" spans="15:21" x14ac:dyDescent="0.25">
      <c r="O22" s="27" t="str">
        <f>Pivot!A74</f>
        <v>C0011</v>
      </c>
      <c r="P22" s="30">
        <f>Pivot!B74</f>
        <v>1163</v>
      </c>
      <c r="Q22" s="30">
        <f>Pivot!C74</f>
        <v>1180</v>
      </c>
      <c r="R22" s="30">
        <f>Pivot!D74</f>
        <v>1616</v>
      </c>
      <c r="S22" s="30">
        <f>Pivot!E74</f>
        <v>1043</v>
      </c>
      <c r="T22" s="30">
        <f>Pivot!F74</f>
        <v>1747</v>
      </c>
      <c r="U22" s="30">
        <f>Pivot!G74</f>
        <v>6749</v>
      </c>
    </row>
    <row r="23" spans="15:21" x14ac:dyDescent="0.25">
      <c r="O23" s="27" t="str">
        <f>Pivot!A75</f>
        <v>C0012</v>
      </c>
      <c r="P23" s="30">
        <f>Pivot!B75</f>
        <v>1438</v>
      </c>
      <c r="Q23" s="30">
        <f>Pivot!C75</f>
        <v>1616</v>
      </c>
      <c r="R23" s="30">
        <f>Pivot!D75</f>
        <v>866</v>
      </c>
      <c r="S23" s="30">
        <f>Pivot!E75</f>
        <v>829</v>
      </c>
      <c r="T23" s="30">
        <f>Pivot!F75</f>
        <v>2070</v>
      </c>
      <c r="U23" s="30">
        <f>Pivot!G75</f>
        <v>6819</v>
      </c>
    </row>
    <row r="24" spans="15:21" x14ac:dyDescent="0.25">
      <c r="O24" s="28" t="str">
        <f>Pivot!A76</f>
        <v>Cleveland</v>
      </c>
      <c r="P24" s="30"/>
      <c r="Q24" s="30"/>
      <c r="R24" s="30"/>
      <c r="S24" s="30"/>
      <c r="T24" s="30"/>
      <c r="U24" s="30"/>
    </row>
    <row r="25" spans="15:21" x14ac:dyDescent="0.25">
      <c r="O25" s="27" t="str">
        <f>Pivot!A77</f>
        <v>C0002</v>
      </c>
      <c r="P25" s="30">
        <f>Pivot!B77</f>
        <v>1233</v>
      </c>
      <c r="Q25" s="30">
        <f>Pivot!C77</f>
        <v>223</v>
      </c>
      <c r="R25" s="30">
        <f>Pivot!D77</f>
        <v>1680</v>
      </c>
      <c r="S25" s="30">
        <f>Pivot!E77</f>
        <v>990</v>
      </c>
      <c r="T25" s="30">
        <f>Pivot!F77</f>
        <v>1508</v>
      </c>
      <c r="U25" s="30">
        <f>Pivot!G77</f>
        <v>5634</v>
      </c>
    </row>
    <row r="26" spans="15:21" x14ac:dyDescent="0.25">
      <c r="O26" s="27" t="str">
        <f>Pivot!A78</f>
        <v>C0007</v>
      </c>
      <c r="P26" s="30">
        <f>Pivot!B78</f>
        <v>1598</v>
      </c>
      <c r="Q26" s="30">
        <f>Pivot!C78</f>
        <v>1907</v>
      </c>
      <c r="R26" s="30">
        <f>Pivot!D78</f>
        <v>869</v>
      </c>
      <c r="S26" s="30">
        <f>Pivot!E78</f>
        <v>1426</v>
      </c>
      <c r="T26" s="30">
        <f>Pivot!F78</f>
        <v>1416</v>
      </c>
      <c r="U26" s="30">
        <f>Pivot!G78</f>
        <v>7216</v>
      </c>
    </row>
    <row r="27" spans="15:21" x14ac:dyDescent="0.25">
      <c r="O27" s="27" t="str">
        <f>Pivot!A79</f>
        <v>C0008</v>
      </c>
      <c r="P27" s="30">
        <f>Pivot!B79</f>
        <v>900</v>
      </c>
      <c r="Q27" s="30">
        <f>Pivot!C79</f>
        <v>1016</v>
      </c>
      <c r="R27" s="30">
        <f>Pivot!D79</f>
        <v>960</v>
      </c>
      <c r="S27" s="30">
        <f>Pivot!E79</f>
        <v>940</v>
      </c>
      <c r="T27" s="30">
        <f>Pivot!F79</f>
        <v>1193</v>
      </c>
      <c r="U27" s="30">
        <f>Pivot!G79</f>
        <v>5009</v>
      </c>
    </row>
    <row r="28" spans="15:21" x14ac:dyDescent="0.25">
      <c r="O28" s="27" t="str">
        <f>Pivot!A80</f>
        <v>C0010</v>
      </c>
      <c r="P28" s="30">
        <f>Pivot!B80</f>
        <v>900</v>
      </c>
      <c r="Q28" s="30">
        <f>Pivot!C80</f>
        <v>1470</v>
      </c>
      <c r="R28" s="30">
        <f>Pivot!D80</f>
        <v>1617</v>
      </c>
      <c r="S28" s="30">
        <f>Pivot!E80</f>
        <v>1314</v>
      </c>
      <c r="T28" s="30">
        <f>Pivot!F80</f>
        <v>941</v>
      </c>
      <c r="U28" s="30">
        <f>Pivot!G80</f>
        <v>6242</v>
      </c>
    </row>
    <row r="29" spans="15:21" x14ac:dyDescent="0.25">
      <c r="O29" s="27" t="str">
        <f>Pivot!A81</f>
        <v>C0013</v>
      </c>
      <c r="P29" s="30">
        <f>Pivot!B81</f>
        <v>1255</v>
      </c>
      <c r="Q29" s="30">
        <f>Pivot!C81</f>
        <v>516</v>
      </c>
      <c r="R29" s="30">
        <f>Pivot!D81</f>
        <v>1874</v>
      </c>
      <c r="S29" s="30">
        <f>Pivot!E81</f>
        <v>1863</v>
      </c>
      <c r="T29" s="30">
        <f>Pivot!F81</f>
        <v>1722</v>
      </c>
      <c r="U29" s="30">
        <f>Pivot!G81</f>
        <v>7230</v>
      </c>
    </row>
    <row r="30" spans="15:21" x14ac:dyDescent="0.25">
      <c r="O30" s="27" t="str">
        <f>Pivot!A82</f>
        <v>C0015</v>
      </c>
      <c r="P30" s="30">
        <f>Pivot!B82</f>
        <v>1138</v>
      </c>
      <c r="Q30" s="30">
        <f>Pivot!C82</f>
        <v>1898</v>
      </c>
      <c r="R30" s="30">
        <f>Pivot!D82</f>
        <v>1482</v>
      </c>
      <c r="S30" s="30">
        <f>Pivot!E82</f>
        <v>846</v>
      </c>
      <c r="T30" s="30">
        <f>Pivot!F82</f>
        <v>1154</v>
      </c>
      <c r="U30" s="30">
        <f>Pivot!G82</f>
        <v>6518</v>
      </c>
    </row>
    <row r="31" spans="15:21" x14ac:dyDescent="0.25">
      <c r="O31" s="28" t="str">
        <f>Pivot!A83</f>
        <v>Columbus</v>
      </c>
      <c r="P31" s="30"/>
      <c r="Q31" s="30"/>
      <c r="R31" s="30"/>
      <c r="S31" s="30"/>
      <c r="T31" s="30"/>
      <c r="U31" s="30"/>
    </row>
    <row r="32" spans="15:21" x14ac:dyDescent="0.25">
      <c r="O32" s="27" t="str">
        <f>Pivot!A84</f>
        <v>C0001</v>
      </c>
      <c r="P32" s="30">
        <f>Pivot!B84</f>
        <v>1655</v>
      </c>
      <c r="Q32" s="30">
        <f>Pivot!C84</f>
        <v>805</v>
      </c>
      <c r="R32" s="30">
        <f>Pivot!D84</f>
        <v>2263</v>
      </c>
      <c r="S32" s="30">
        <f>Pivot!E84</f>
        <v>987</v>
      </c>
      <c r="T32" s="30">
        <f>Pivot!F84</f>
        <v>1075</v>
      </c>
      <c r="U32" s="30">
        <f>Pivot!G84</f>
        <v>6785</v>
      </c>
    </row>
    <row r="33" spans="15:21" x14ac:dyDescent="0.25">
      <c r="O33" s="27" t="str">
        <f>Pivot!A85</f>
        <v>C0005</v>
      </c>
      <c r="P33" s="30">
        <f>Pivot!B85</f>
        <v>1104</v>
      </c>
      <c r="Q33" s="30">
        <f>Pivot!C85</f>
        <v>2280</v>
      </c>
      <c r="R33" s="30">
        <f>Pivot!D85</f>
        <v>1445</v>
      </c>
      <c r="S33" s="30">
        <f>Pivot!E85</f>
        <v>1722</v>
      </c>
      <c r="T33" s="30">
        <f>Pivot!F85</f>
        <v>1196</v>
      </c>
      <c r="U33" s="30">
        <f>Pivot!G85</f>
        <v>7747</v>
      </c>
    </row>
    <row r="34" spans="15:21" x14ac:dyDescent="0.25">
      <c r="O34" s="27" t="str">
        <f>Pivot!A86</f>
        <v>C0006</v>
      </c>
      <c r="P34" s="30">
        <f>Pivot!B86</f>
        <v>372</v>
      </c>
      <c r="Q34" s="30">
        <f>Pivot!C86</f>
        <v>1818</v>
      </c>
      <c r="R34" s="30">
        <f>Pivot!D86</f>
        <v>1346</v>
      </c>
      <c r="S34" s="30">
        <f>Pivot!E86</f>
        <v>1156</v>
      </c>
      <c r="T34" s="30">
        <f>Pivot!F86</f>
        <v>1484</v>
      </c>
      <c r="U34" s="30">
        <f>Pivot!G86</f>
        <v>6176</v>
      </c>
    </row>
    <row r="35" spans="15:21" x14ac:dyDescent="0.25">
      <c r="O35" s="27" t="str">
        <f>Pivot!A87</f>
        <v>C0009</v>
      </c>
      <c r="P35" s="30">
        <f>Pivot!B87</f>
        <v>1415</v>
      </c>
      <c r="Q35" s="30">
        <f>Pivot!C87</f>
        <v>1271</v>
      </c>
      <c r="R35" s="30">
        <f>Pivot!D87</f>
        <v>1214</v>
      </c>
      <c r="S35" s="30">
        <f>Pivot!E87</f>
        <v>1135</v>
      </c>
      <c r="T35" s="30">
        <f>Pivot!F87</f>
        <v>1566</v>
      </c>
      <c r="U35" s="30">
        <f>Pivot!G87</f>
        <v>6601</v>
      </c>
    </row>
    <row r="36" spans="15:21" x14ac:dyDescent="0.25">
      <c r="O36" s="27" t="str">
        <f>Pivot!A88</f>
        <v>C0014</v>
      </c>
      <c r="P36" s="30">
        <f>Pivot!B88</f>
        <v>1362</v>
      </c>
      <c r="Q36" s="30">
        <f>Pivot!C88</f>
        <v>1363</v>
      </c>
      <c r="R36" s="30">
        <f>Pivot!D88</f>
        <v>1152</v>
      </c>
      <c r="S36" s="30">
        <f>Pivot!E88</f>
        <v>777</v>
      </c>
      <c r="T36" s="30">
        <f>Pivot!F88</f>
        <v>750</v>
      </c>
      <c r="U36" s="30">
        <f>Pivot!G88</f>
        <v>5404</v>
      </c>
    </row>
  </sheetData>
  <conditionalFormatting sqref="P20:T36">
    <cfRule type="colorScale" priority="1">
      <colorScale>
        <cfvo type="min"/>
        <cfvo type="max"/>
        <color rgb="FF63BE7B"/>
        <color rgb="FFFCFCFF"/>
      </colorScale>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6B13-D57F-40E0-A2F5-C7E9B841867B}">
  <dimension ref="A3:I89"/>
  <sheetViews>
    <sheetView topLeftCell="A61" workbookViewId="0">
      <selection activeCell="O19" sqref="O19:U36"/>
    </sheetView>
  </sheetViews>
  <sheetFormatPr defaultRowHeight="13.8" x14ac:dyDescent="0.25"/>
  <cols>
    <col min="1" max="1" width="13.09765625" bestFit="1" customWidth="1"/>
    <col min="2" max="2" width="9.59765625" bestFit="1" customWidth="1"/>
    <col min="3" max="3" width="10.59765625" bestFit="1" customWidth="1"/>
    <col min="4" max="4" width="14.5" bestFit="1" customWidth="1"/>
    <col min="5" max="5" width="7.09765625" bestFit="1" customWidth="1"/>
    <col min="6" max="6" width="7.8984375" bestFit="1" customWidth="1"/>
    <col min="7" max="7" width="11" bestFit="1" customWidth="1"/>
    <col min="8" max="8" width="13.09765625" bestFit="1" customWidth="1"/>
    <col min="9" max="9" width="9.59765625" bestFit="1" customWidth="1"/>
    <col min="10" max="10" width="3.8984375" bestFit="1" customWidth="1"/>
    <col min="11" max="14" width="2.8984375" bestFit="1" customWidth="1"/>
    <col min="15" max="15" width="11" bestFit="1" customWidth="1"/>
  </cols>
  <sheetData>
    <row r="3" spans="1:5" x14ac:dyDescent="0.25">
      <c r="A3" t="s">
        <v>1039</v>
      </c>
      <c r="B3" t="s">
        <v>1040</v>
      </c>
      <c r="C3" t="s">
        <v>1041</v>
      </c>
      <c r="D3" t="s">
        <v>1042</v>
      </c>
      <c r="E3" t="s">
        <v>1043</v>
      </c>
    </row>
    <row r="4" spans="1:5" x14ac:dyDescent="0.25">
      <c r="A4" s="18">
        <v>1000</v>
      </c>
      <c r="B4" s="17">
        <v>96623</v>
      </c>
      <c r="C4" s="18">
        <v>89850</v>
      </c>
      <c r="D4" s="19">
        <v>3.8854000000000033</v>
      </c>
      <c r="E4" s="18">
        <v>307</v>
      </c>
    </row>
    <row r="9" spans="1:5" x14ac:dyDescent="0.25">
      <c r="A9" t="s">
        <v>1039</v>
      </c>
      <c r="B9" t="s">
        <v>1040</v>
      </c>
      <c r="C9" t="s">
        <v>1041</v>
      </c>
      <c r="D9" t="s">
        <v>1042</v>
      </c>
      <c r="E9" t="s">
        <v>1043</v>
      </c>
    </row>
    <row r="10" spans="1:5" x14ac:dyDescent="0.25">
      <c r="A10" s="18">
        <v>1000</v>
      </c>
      <c r="B10" s="17">
        <v>96623</v>
      </c>
      <c r="C10" s="18">
        <v>89850</v>
      </c>
      <c r="D10" s="19">
        <v>3.8854000000000033</v>
      </c>
      <c r="E10" s="18">
        <v>307</v>
      </c>
    </row>
    <row r="16" spans="1:5" x14ac:dyDescent="0.25">
      <c r="A16" s="20" t="s">
        <v>1044</v>
      </c>
      <c r="B16" t="s">
        <v>1039</v>
      </c>
      <c r="C16" t="s">
        <v>1058</v>
      </c>
    </row>
    <row r="17" spans="1:3" x14ac:dyDescent="0.25">
      <c r="A17" s="21" t="s">
        <v>1046</v>
      </c>
      <c r="B17" s="18">
        <v>79</v>
      </c>
      <c r="C17" s="18">
        <v>79</v>
      </c>
    </row>
    <row r="18" spans="1:3" x14ac:dyDescent="0.25">
      <c r="A18" s="21" t="s">
        <v>1047</v>
      </c>
      <c r="B18" s="18">
        <v>66</v>
      </c>
      <c r="C18" s="18">
        <v>66</v>
      </c>
    </row>
    <row r="19" spans="1:3" x14ac:dyDescent="0.25">
      <c r="A19" s="21" t="s">
        <v>1048</v>
      </c>
      <c r="B19" s="18">
        <v>155</v>
      </c>
      <c r="C19" s="18">
        <v>155</v>
      </c>
    </row>
    <row r="20" spans="1:3" x14ac:dyDescent="0.25">
      <c r="A20" s="21" t="s">
        <v>1049</v>
      </c>
      <c r="B20" s="18">
        <v>136</v>
      </c>
      <c r="C20" s="18">
        <v>136</v>
      </c>
    </row>
    <row r="21" spans="1:3" x14ac:dyDescent="0.25">
      <c r="A21" s="21" t="s">
        <v>1050</v>
      </c>
      <c r="B21" s="18">
        <v>83</v>
      </c>
      <c r="C21" s="18">
        <v>83</v>
      </c>
    </row>
    <row r="22" spans="1:3" x14ac:dyDescent="0.25">
      <c r="A22" s="21" t="s">
        <v>1051</v>
      </c>
      <c r="B22" s="18">
        <v>67</v>
      </c>
      <c r="C22" s="18">
        <v>67</v>
      </c>
    </row>
    <row r="23" spans="1:3" x14ac:dyDescent="0.25">
      <c r="A23" s="21" t="s">
        <v>1052</v>
      </c>
      <c r="B23" s="18">
        <v>64</v>
      </c>
      <c r="C23" s="18">
        <v>64</v>
      </c>
    </row>
    <row r="24" spans="1:3" x14ac:dyDescent="0.25">
      <c r="A24" s="21" t="s">
        <v>1053</v>
      </c>
      <c r="B24" s="18">
        <v>50</v>
      </c>
      <c r="C24" s="18">
        <v>50</v>
      </c>
    </row>
    <row r="25" spans="1:3" x14ac:dyDescent="0.25">
      <c r="A25" s="21" t="s">
        <v>1054</v>
      </c>
      <c r="B25" s="18">
        <v>76</v>
      </c>
      <c r="C25" s="18">
        <v>76</v>
      </c>
    </row>
    <row r="26" spans="1:3" x14ac:dyDescent="0.25">
      <c r="A26" s="21" t="s">
        <v>1055</v>
      </c>
      <c r="B26" s="18">
        <v>114</v>
      </c>
      <c r="C26" s="18">
        <v>114</v>
      </c>
    </row>
    <row r="27" spans="1:3" x14ac:dyDescent="0.25">
      <c r="A27" s="21" t="s">
        <v>1056</v>
      </c>
      <c r="B27" s="18">
        <v>57</v>
      </c>
      <c r="C27" s="18">
        <v>57</v>
      </c>
    </row>
    <row r="28" spans="1:3" x14ac:dyDescent="0.25">
      <c r="A28" s="21" t="s">
        <v>1057</v>
      </c>
      <c r="B28" s="18">
        <v>53</v>
      </c>
      <c r="C28" s="18">
        <v>53</v>
      </c>
    </row>
    <row r="29" spans="1:3" x14ac:dyDescent="0.25">
      <c r="A29" s="21" t="s">
        <v>1045</v>
      </c>
      <c r="B29" s="18">
        <v>1000</v>
      </c>
      <c r="C29" s="18">
        <v>1000</v>
      </c>
    </row>
    <row r="32" spans="1:3" x14ac:dyDescent="0.25">
      <c r="A32" s="20" t="s">
        <v>1044</v>
      </c>
      <c r="B32" t="s">
        <v>1039</v>
      </c>
    </row>
    <row r="33" spans="1:9" x14ac:dyDescent="0.25">
      <c r="A33" s="21" t="s">
        <v>1062</v>
      </c>
      <c r="B33" s="18">
        <v>146</v>
      </c>
    </row>
    <row r="34" spans="1:9" x14ac:dyDescent="0.25">
      <c r="A34" s="21" t="s">
        <v>1061</v>
      </c>
      <c r="B34" s="18">
        <v>161</v>
      </c>
    </row>
    <row r="35" spans="1:9" x14ac:dyDescent="0.25">
      <c r="A35" s="21" t="s">
        <v>1059</v>
      </c>
      <c r="B35" s="18">
        <v>141</v>
      </c>
    </row>
    <row r="36" spans="1:9" x14ac:dyDescent="0.25">
      <c r="A36" s="21" t="s">
        <v>1063</v>
      </c>
      <c r="B36" s="18">
        <v>128</v>
      </c>
    </row>
    <row r="37" spans="1:9" x14ac:dyDescent="0.25">
      <c r="A37" s="21" t="s">
        <v>1065</v>
      </c>
      <c r="B37" s="18">
        <v>153</v>
      </c>
    </row>
    <row r="38" spans="1:9" x14ac:dyDescent="0.25">
      <c r="A38" s="21" t="s">
        <v>1064</v>
      </c>
      <c r="B38" s="18">
        <v>138</v>
      </c>
    </row>
    <row r="39" spans="1:9" x14ac:dyDescent="0.25">
      <c r="A39" s="21" t="s">
        <v>1060</v>
      </c>
      <c r="B39" s="18">
        <v>133</v>
      </c>
    </row>
    <row r="40" spans="1:9" x14ac:dyDescent="0.25">
      <c r="A40" s="21" t="s">
        <v>1045</v>
      </c>
      <c r="B40" s="18">
        <v>1000</v>
      </c>
    </row>
    <row r="43" spans="1:9" x14ac:dyDescent="0.25">
      <c r="A43" s="20" t="s">
        <v>1044</v>
      </c>
      <c r="B43" t="s">
        <v>1066</v>
      </c>
      <c r="H43" s="20" t="s">
        <v>1044</v>
      </c>
      <c r="I43" t="s">
        <v>1039</v>
      </c>
    </row>
    <row r="44" spans="1:9" x14ac:dyDescent="0.25">
      <c r="A44" s="21" t="s">
        <v>13</v>
      </c>
      <c r="B44" s="22">
        <v>20104</v>
      </c>
      <c r="H44" s="21" t="s">
        <v>13</v>
      </c>
      <c r="I44" s="18">
        <v>200</v>
      </c>
    </row>
    <row r="45" spans="1:9" x14ac:dyDescent="0.25">
      <c r="A45" s="21" t="s">
        <v>28</v>
      </c>
      <c r="B45" s="22">
        <v>16651</v>
      </c>
      <c r="H45" s="21" t="s">
        <v>28</v>
      </c>
      <c r="I45" s="18">
        <v>186</v>
      </c>
    </row>
    <row r="46" spans="1:9" x14ac:dyDescent="0.25">
      <c r="A46" s="21" t="s">
        <v>32</v>
      </c>
      <c r="B46" s="22">
        <v>20872</v>
      </c>
      <c r="H46" s="21" t="s">
        <v>32</v>
      </c>
      <c r="I46" s="18">
        <v>207</v>
      </c>
    </row>
    <row r="47" spans="1:9" x14ac:dyDescent="0.25">
      <c r="A47" s="21" t="s">
        <v>18</v>
      </c>
      <c r="B47" s="22">
        <v>20581</v>
      </c>
      <c r="H47" s="21" t="s">
        <v>18</v>
      </c>
      <c r="I47" s="18">
        <v>218</v>
      </c>
    </row>
    <row r="48" spans="1:9" x14ac:dyDescent="0.25">
      <c r="A48" s="21" t="s">
        <v>23</v>
      </c>
      <c r="B48" s="22">
        <v>18415</v>
      </c>
      <c r="H48" s="21" t="s">
        <v>23</v>
      </c>
      <c r="I48" s="18">
        <v>189</v>
      </c>
    </row>
    <row r="49" spans="1:9" x14ac:dyDescent="0.25">
      <c r="A49" s="21" t="s">
        <v>1045</v>
      </c>
      <c r="B49" s="22">
        <v>96623</v>
      </c>
      <c r="H49" s="21" t="s">
        <v>1045</v>
      </c>
      <c r="I49" s="18">
        <v>1000</v>
      </c>
    </row>
    <row r="53" spans="1:9" x14ac:dyDescent="0.25">
      <c r="A53" s="20" t="s">
        <v>1039</v>
      </c>
      <c r="B53" s="20" t="s">
        <v>1067</v>
      </c>
    </row>
    <row r="54" spans="1:9" x14ac:dyDescent="0.25">
      <c r="A54" s="20" t="s">
        <v>1044</v>
      </c>
      <c r="B54" t="s">
        <v>1038</v>
      </c>
      <c r="C54" t="s">
        <v>1034</v>
      </c>
      <c r="D54" t="s">
        <v>1045</v>
      </c>
    </row>
    <row r="55" spans="1:9" x14ac:dyDescent="0.25">
      <c r="A55" s="21" t="s">
        <v>1037</v>
      </c>
      <c r="B55" s="18">
        <v>144</v>
      </c>
      <c r="C55" s="18">
        <v>132</v>
      </c>
      <c r="D55" s="18">
        <v>276</v>
      </c>
    </row>
    <row r="56" spans="1:9" x14ac:dyDescent="0.25">
      <c r="A56" s="21" t="s">
        <v>1036</v>
      </c>
      <c r="B56" s="18">
        <v>326</v>
      </c>
      <c r="C56" s="18">
        <v>63</v>
      </c>
      <c r="D56" s="18">
        <v>389</v>
      </c>
    </row>
    <row r="57" spans="1:9" x14ac:dyDescent="0.25">
      <c r="A57" s="21" t="s">
        <v>1035</v>
      </c>
      <c r="B57" s="18">
        <v>129</v>
      </c>
      <c r="C57" s="18">
        <v>206</v>
      </c>
      <c r="D57" s="18">
        <v>335</v>
      </c>
    </row>
    <row r="58" spans="1:9" x14ac:dyDescent="0.25">
      <c r="A58" s="21" t="s">
        <v>1045</v>
      </c>
      <c r="B58" s="18">
        <v>599</v>
      </c>
      <c r="C58" s="18">
        <v>401</v>
      </c>
      <c r="D58" s="18">
        <v>1000</v>
      </c>
    </row>
    <row r="61" spans="1:9" x14ac:dyDescent="0.25">
      <c r="A61" s="20" t="s">
        <v>1044</v>
      </c>
      <c r="B61" t="s">
        <v>1039</v>
      </c>
    </row>
    <row r="62" spans="1:9" x14ac:dyDescent="0.25">
      <c r="A62" s="21">
        <v>0</v>
      </c>
      <c r="B62" s="18">
        <v>1</v>
      </c>
    </row>
    <row r="63" spans="1:9" x14ac:dyDescent="0.25">
      <c r="A63" s="21">
        <v>1</v>
      </c>
      <c r="B63" s="18">
        <v>8</v>
      </c>
    </row>
    <row r="64" spans="1:9" x14ac:dyDescent="0.25">
      <c r="A64" s="21">
        <v>2</v>
      </c>
      <c r="B64" s="18">
        <v>59</v>
      </c>
    </row>
    <row r="65" spans="1:7" x14ac:dyDescent="0.25">
      <c r="A65" s="21">
        <v>3</v>
      </c>
      <c r="B65" s="18">
        <v>197</v>
      </c>
    </row>
    <row r="66" spans="1:7" x14ac:dyDescent="0.25">
      <c r="A66" s="21">
        <v>4</v>
      </c>
      <c r="B66" s="18">
        <v>428</v>
      </c>
    </row>
    <row r="67" spans="1:7" x14ac:dyDescent="0.25">
      <c r="A67" s="21">
        <v>5</v>
      </c>
      <c r="B67" s="18">
        <v>307</v>
      </c>
    </row>
    <row r="68" spans="1:7" x14ac:dyDescent="0.25">
      <c r="A68" s="21" t="s">
        <v>1045</v>
      </c>
      <c r="B68" s="18">
        <v>1000</v>
      </c>
    </row>
    <row r="69" spans="1:7" x14ac:dyDescent="0.25">
      <c r="A69" s="20" t="s">
        <v>1040</v>
      </c>
      <c r="B69" s="20" t="s">
        <v>1067</v>
      </c>
    </row>
    <row r="70" spans="1:7" x14ac:dyDescent="0.25">
      <c r="A70" s="20" t="s">
        <v>1044</v>
      </c>
      <c r="B70" t="s">
        <v>23</v>
      </c>
      <c r="C70" t="s">
        <v>18</v>
      </c>
      <c r="D70" t="s">
        <v>32</v>
      </c>
      <c r="E70" t="s">
        <v>28</v>
      </c>
      <c r="F70" t="s">
        <v>13</v>
      </c>
      <c r="G70" t="s">
        <v>1045</v>
      </c>
    </row>
    <row r="71" spans="1:7" x14ac:dyDescent="0.25">
      <c r="A71" s="21" t="s">
        <v>1037</v>
      </c>
      <c r="B71" s="22"/>
      <c r="C71" s="22"/>
      <c r="D71" s="22"/>
      <c r="E71" s="22"/>
      <c r="F71" s="22"/>
      <c r="G71" s="22"/>
    </row>
    <row r="72" spans="1:7" x14ac:dyDescent="0.25">
      <c r="A72" s="24" t="s">
        <v>12</v>
      </c>
      <c r="B72" s="17">
        <v>891</v>
      </c>
      <c r="C72" s="17">
        <v>1332</v>
      </c>
      <c r="D72" s="17">
        <v>1282</v>
      </c>
      <c r="E72" s="17">
        <v>739</v>
      </c>
      <c r="F72" s="17">
        <v>560</v>
      </c>
      <c r="G72" s="17">
        <v>4804</v>
      </c>
    </row>
    <row r="73" spans="1:7" x14ac:dyDescent="0.25">
      <c r="A73" s="24" t="s">
        <v>15</v>
      </c>
      <c r="B73" s="17">
        <v>1991</v>
      </c>
      <c r="C73" s="17">
        <v>1886</v>
      </c>
      <c r="D73" s="17">
        <v>1206</v>
      </c>
      <c r="E73" s="17">
        <v>884</v>
      </c>
      <c r="F73" s="17">
        <v>1722</v>
      </c>
      <c r="G73" s="17">
        <v>7689</v>
      </c>
    </row>
    <row r="74" spans="1:7" x14ac:dyDescent="0.25">
      <c r="A74" s="24" t="s">
        <v>22</v>
      </c>
      <c r="B74" s="17">
        <v>1163</v>
      </c>
      <c r="C74" s="17">
        <v>1180</v>
      </c>
      <c r="D74" s="17">
        <v>1616</v>
      </c>
      <c r="E74" s="17">
        <v>1043</v>
      </c>
      <c r="F74" s="17">
        <v>1747</v>
      </c>
      <c r="G74" s="17">
        <v>6749</v>
      </c>
    </row>
    <row r="75" spans="1:7" x14ac:dyDescent="0.25">
      <c r="A75" s="24" t="s">
        <v>54</v>
      </c>
      <c r="B75" s="17">
        <v>1438</v>
      </c>
      <c r="C75" s="17">
        <v>1616</v>
      </c>
      <c r="D75" s="17">
        <v>866</v>
      </c>
      <c r="E75" s="17">
        <v>829</v>
      </c>
      <c r="F75" s="17">
        <v>2070</v>
      </c>
      <c r="G75" s="17">
        <v>6819</v>
      </c>
    </row>
    <row r="76" spans="1:7" x14ac:dyDescent="0.25">
      <c r="A76" s="21" t="s">
        <v>1036</v>
      </c>
      <c r="B76" s="22"/>
      <c r="C76" s="22"/>
      <c r="D76" s="22"/>
      <c r="E76" s="22"/>
      <c r="F76" s="22"/>
      <c r="G76" s="22"/>
    </row>
    <row r="77" spans="1:7" x14ac:dyDescent="0.25">
      <c r="A77" s="24" t="s">
        <v>37</v>
      </c>
      <c r="B77" s="17">
        <v>1233</v>
      </c>
      <c r="C77" s="17">
        <v>223</v>
      </c>
      <c r="D77" s="17">
        <v>1680</v>
      </c>
      <c r="E77" s="17">
        <v>990</v>
      </c>
      <c r="F77" s="17">
        <v>1508</v>
      </c>
      <c r="G77" s="17">
        <v>5634</v>
      </c>
    </row>
    <row r="78" spans="1:7" x14ac:dyDescent="0.25">
      <c r="A78" s="24" t="s">
        <v>26</v>
      </c>
      <c r="B78" s="17">
        <v>1598</v>
      </c>
      <c r="C78" s="17">
        <v>1907</v>
      </c>
      <c r="D78" s="17">
        <v>869</v>
      </c>
      <c r="E78" s="17">
        <v>1426</v>
      </c>
      <c r="F78" s="17">
        <v>1416</v>
      </c>
      <c r="G78" s="17">
        <v>7216</v>
      </c>
    </row>
    <row r="79" spans="1:7" x14ac:dyDescent="0.25">
      <c r="A79" s="24" t="s">
        <v>84</v>
      </c>
      <c r="B79" s="17">
        <v>900</v>
      </c>
      <c r="C79" s="17">
        <v>1016</v>
      </c>
      <c r="D79" s="17">
        <v>960</v>
      </c>
      <c r="E79" s="17">
        <v>940</v>
      </c>
      <c r="F79" s="17">
        <v>1193</v>
      </c>
      <c r="G79" s="17">
        <v>5009</v>
      </c>
    </row>
    <row r="80" spans="1:7" x14ac:dyDescent="0.25">
      <c r="A80" s="24" t="s">
        <v>31</v>
      </c>
      <c r="B80" s="17">
        <v>900</v>
      </c>
      <c r="C80" s="17">
        <v>1470</v>
      </c>
      <c r="D80" s="17">
        <v>1617</v>
      </c>
      <c r="E80" s="17">
        <v>1314</v>
      </c>
      <c r="F80" s="17">
        <v>941</v>
      </c>
      <c r="G80" s="17">
        <v>6242</v>
      </c>
    </row>
    <row r="81" spans="1:7" x14ac:dyDescent="0.25">
      <c r="A81" s="24" t="s">
        <v>35</v>
      </c>
      <c r="B81" s="17">
        <v>1255</v>
      </c>
      <c r="C81" s="17">
        <v>516</v>
      </c>
      <c r="D81" s="17">
        <v>1874</v>
      </c>
      <c r="E81" s="17">
        <v>1863</v>
      </c>
      <c r="F81" s="17">
        <v>1722</v>
      </c>
      <c r="G81" s="17">
        <v>7230</v>
      </c>
    </row>
    <row r="82" spans="1:7" x14ac:dyDescent="0.25">
      <c r="A82" s="24" t="s">
        <v>51</v>
      </c>
      <c r="B82" s="17">
        <v>1138</v>
      </c>
      <c r="C82" s="17">
        <v>1898</v>
      </c>
      <c r="D82" s="17">
        <v>1482</v>
      </c>
      <c r="E82" s="17">
        <v>846</v>
      </c>
      <c r="F82" s="17">
        <v>1154</v>
      </c>
      <c r="G82" s="17">
        <v>6518</v>
      </c>
    </row>
    <row r="83" spans="1:7" x14ac:dyDescent="0.25">
      <c r="A83" s="21" t="s">
        <v>1035</v>
      </c>
      <c r="B83" s="22"/>
      <c r="C83" s="22"/>
      <c r="D83" s="22"/>
      <c r="E83" s="22"/>
      <c r="F83" s="22"/>
      <c r="G83" s="22"/>
    </row>
    <row r="84" spans="1:7" x14ac:dyDescent="0.25">
      <c r="A84" s="24" t="s">
        <v>64</v>
      </c>
      <c r="B84" s="17">
        <v>1655</v>
      </c>
      <c r="C84" s="17">
        <v>805</v>
      </c>
      <c r="D84" s="17">
        <v>2263</v>
      </c>
      <c r="E84" s="17">
        <v>987</v>
      </c>
      <c r="F84" s="17">
        <v>1075</v>
      </c>
      <c r="G84" s="17">
        <v>6785</v>
      </c>
    </row>
    <row r="85" spans="1:7" x14ac:dyDescent="0.25">
      <c r="A85" s="24" t="s">
        <v>17</v>
      </c>
      <c r="B85" s="17">
        <v>1104</v>
      </c>
      <c r="C85" s="17">
        <v>2280</v>
      </c>
      <c r="D85" s="17">
        <v>1445</v>
      </c>
      <c r="E85" s="17">
        <v>1722</v>
      </c>
      <c r="F85" s="17">
        <v>1196</v>
      </c>
      <c r="G85" s="17">
        <v>7747</v>
      </c>
    </row>
    <row r="86" spans="1:7" x14ac:dyDescent="0.25">
      <c r="A86" s="24" t="s">
        <v>46</v>
      </c>
      <c r="B86" s="17">
        <v>372</v>
      </c>
      <c r="C86" s="17">
        <v>1818</v>
      </c>
      <c r="D86" s="17">
        <v>1346</v>
      </c>
      <c r="E86" s="17">
        <v>1156</v>
      </c>
      <c r="F86" s="17">
        <v>1484</v>
      </c>
      <c r="G86" s="17">
        <v>6176</v>
      </c>
    </row>
    <row r="87" spans="1:7" x14ac:dyDescent="0.25">
      <c r="A87" s="24" t="s">
        <v>43</v>
      </c>
      <c r="B87" s="17">
        <v>1415</v>
      </c>
      <c r="C87" s="17">
        <v>1271</v>
      </c>
      <c r="D87" s="17">
        <v>1214</v>
      </c>
      <c r="E87" s="17">
        <v>1135</v>
      </c>
      <c r="F87" s="17">
        <v>1566</v>
      </c>
      <c r="G87" s="17">
        <v>6601</v>
      </c>
    </row>
    <row r="88" spans="1:7" x14ac:dyDescent="0.25">
      <c r="A88" s="24" t="s">
        <v>20</v>
      </c>
      <c r="B88" s="17">
        <v>1362</v>
      </c>
      <c r="C88" s="17">
        <v>1363</v>
      </c>
      <c r="D88" s="17">
        <v>1152</v>
      </c>
      <c r="E88" s="17">
        <v>777</v>
      </c>
      <c r="F88" s="17">
        <v>750</v>
      </c>
      <c r="G88" s="17">
        <v>5404</v>
      </c>
    </row>
    <row r="89" spans="1:7" x14ac:dyDescent="0.25">
      <c r="A89" s="21" t="s">
        <v>1045</v>
      </c>
      <c r="B89" s="17">
        <v>18415</v>
      </c>
      <c r="C89" s="17">
        <v>20581</v>
      </c>
      <c r="D89" s="17">
        <v>20872</v>
      </c>
      <c r="E89" s="17">
        <v>16651</v>
      </c>
      <c r="F89" s="17">
        <v>20104</v>
      </c>
      <c r="G89" s="17">
        <v>96623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B17-488D-4873-B1D7-4A258957FF38}">
  <dimension ref="A1:P1001"/>
  <sheetViews>
    <sheetView topLeftCell="A10" workbookViewId="0">
      <selection activeCell="C1" sqref="A1:K1001"/>
    </sheetView>
  </sheetViews>
  <sheetFormatPr defaultRowHeight="14.4" x14ac:dyDescent="0.25"/>
  <cols>
    <col min="1" max="1" width="14.296875" customWidth="1"/>
    <col min="2" max="2" width="13.59765625" customWidth="1"/>
    <col min="3" max="3" width="10.59765625" customWidth="1"/>
    <col min="4" max="4" width="18.3984375" customWidth="1"/>
    <col min="5" max="5" width="16.5" customWidth="1"/>
    <col min="6" max="6" width="18.5" customWidth="1"/>
    <col min="7" max="7" width="20.296875" customWidth="1"/>
    <col min="9" max="9" width="19" customWidth="1"/>
    <col min="10" max="10" width="20" customWidth="1"/>
    <col min="11" max="11" width="15.3984375" customWidth="1"/>
    <col min="13" max="13" width="12" customWidth="1"/>
    <col min="14" max="14" width="11.296875" customWidth="1"/>
    <col min="15" max="15" width="9.59765625" customWidth="1"/>
    <col min="16" max="16" width="14.3984375" customWidth="1"/>
  </cols>
  <sheetData>
    <row r="1" spans="1:16" ht="13.8" x14ac:dyDescent="0.25">
      <c r="A1" s="1" t="s">
        <v>0</v>
      </c>
      <c r="B1" s="1" t="s">
        <v>1</v>
      </c>
      <c r="C1" s="2" t="s">
        <v>2</v>
      </c>
      <c r="D1" s="3" t="s">
        <v>3</v>
      </c>
      <c r="E1" s="3" t="s">
        <v>4</v>
      </c>
      <c r="F1" s="1" t="s">
        <v>5</v>
      </c>
      <c r="G1" s="1" t="s">
        <v>6</v>
      </c>
      <c r="H1" t="s">
        <v>7</v>
      </c>
      <c r="I1" t="s">
        <v>8</v>
      </c>
      <c r="J1" t="s">
        <v>9</v>
      </c>
      <c r="K1" t="s">
        <v>10</v>
      </c>
      <c r="M1" s="6" t="s">
        <v>1</v>
      </c>
      <c r="N1" s="7" t="s">
        <v>1031</v>
      </c>
      <c r="O1" s="7" t="s">
        <v>1032</v>
      </c>
      <c r="P1" s="8" t="s">
        <v>1033</v>
      </c>
    </row>
    <row r="2" spans="1:16" ht="13.8" x14ac:dyDescent="0.25">
      <c r="A2" t="s">
        <v>11</v>
      </c>
      <c r="B2" t="s">
        <v>12</v>
      </c>
      <c r="C2">
        <v>116</v>
      </c>
      <c r="D2" s="4" t="s">
        <v>13</v>
      </c>
      <c r="E2" s="5">
        <v>44927</v>
      </c>
      <c r="F2">
        <v>128</v>
      </c>
      <c r="G2">
        <v>4.9000000000000004</v>
      </c>
      <c r="H2">
        <f>IF(MONTH(calls[[#This Row],[Date of Call]])&lt;=6, YEAR(calls[[#This Row],[Date of Call]]), YEAR(calls[[#This Row],[Date of Call]])+1)</f>
        <v>2023</v>
      </c>
      <c r="I2" t="str">
        <f>TEXT(calls[[#This Row],[Date of Call]],"DDDD")</f>
        <v>Sunday</v>
      </c>
      <c r="J2" t="str">
        <f t="array" ref="J2">_xlfn.IFS(calls[[#This Row],[Duration]]&lt;=10,"Under 10 mins", calls[[#This Row],[Duration]]&lt;=30, "10 to 30 mins", calls[[#This Row],[Duration]]&lt;=60, "30 to 60 mins", calls[[#This Row],[Duration]]&lt;=120, "1 to 2 hours", TRUE, "More than 2 hours")</f>
        <v>1 to 2 hours</v>
      </c>
      <c r="K2">
        <f>ROUND(calls[[#This Row],[Satisfaction Rating]],0)</f>
        <v>5</v>
      </c>
      <c r="M2" s="9" t="s">
        <v>64</v>
      </c>
      <c r="N2" s="10" t="s">
        <v>1034</v>
      </c>
      <c r="O2" s="11">
        <v>41</v>
      </c>
      <c r="P2" s="12" t="s">
        <v>1035</v>
      </c>
    </row>
    <row r="3" spans="1:16" ht="13.8" x14ac:dyDescent="0.25">
      <c r="A3" t="s">
        <v>14</v>
      </c>
      <c r="B3" t="s">
        <v>15</v>
      </c>
      <c r="C3">
        <v>119</v>
      </c>
      <c r="D3" s="4" t="s">
        <v>13</v>
      </c>
      <c r="E3" s="5">
        <v>44927</v>
      </c>
      <c r="F3">
        <v>135</v>
      </c>
      <c r="G3">
        <v>2.9</v>
      </c>
      <c r="H3">
        <f>IF(MONTH(calls[[#This Row],[Date of Call]])&lt;=6, YEAR(calls[[#This Row],[Date of Call]]), YEAR(calls[[#This Row],[Date of Call]])+1)</f>
        <v>2023</v>
      </c>
      <c r="I3" t="str">
        <f>TEXT(calls[[#This Row],[Date of Call]],"DDDD")</f>
        <v>Sunday</v>
      </c>
      <c r="J3" t="str">
        <f t="array" ref="J3">_xlfn.IFS(calls[[#This Row],[Duration]]&lt;=10,"Under 10 mins", calls[[#This Row],[Duration]]&lt;=30, "10 to 30 mins", calls[[#This Row],[Duration]]&lt;=60, "30 to 60 mins", calls[[#This Row],[Duration]]&lt;=120, "1 to 2 hours", TRUE, "More than 2 hours")</f>
        <v>1 to 2 hours</v>
      </c>
      <c r="K3">
        <f>ROUND(calls[[#This Row],[Satisfaction Rating]],0)</f>
        <v>3</v>
      </c>
      <c r="M3" s="9" t="s">
        <v>37</v>
      </c>
      <c r="N3" s="10" t="s">
        <v>1034</v>
      </c>
      <c r="O3" s="11">
        <v>31</v>
      </c>
      <c r="P3" s="12" t="s">
        <v>1036</v>
      </c>
    </row>
    <row r="4" spans="1:16" ht="13.8" x14ac:dyDescent="0.25">
      <c r="A4" t="s">
        <v>16</v>
      </c>
      <c r="B4" t="s">
        <v>17</v>
      </c>
      <c r="C4">
        <v>68</v>
      </c>
      <c r="D4" s="4" t="s">
        <v>18</v>
      </c>
      <c r="E4" s="5">
        <v>44927</v>
      </c>
      <c r="F4">
        <v>66</v>
      </c>
      <c r="G4">
        <v>4.7</v>
      </c>
      <c r="H4">
        <f>IF(MONTH(calls[[#This Row],[Date of Call]])&lt;=6, YEAR(calls[[#This Row],[Date of Call]]), YEAR(calls[[#This Row],[Date of Call]])+1)</f>
        <v>2023</v>
      </c>
      <c r="I4" t="str">
        <f>TEXT(calls[[#This Row],[Date of Call]],"DDDD")</f>
        <v>Sunday</v>
      </c>
      <c r="J4" t="str">
        <f t="array" ref="J4">_xlfn.IFS(calls[[#This Row],[Duration]]&lt;=10,"Under 10 mins", calls[[#This Row],[Duration]]&lt;=30, "10 to 30 mins", calls[[#This Row],[Duration]]&lt;=60, "30 to 60 mins", calls[[#This Row],[Duration]]&lt;=120, "1 to 2 hours", TRUE, "More than 2 hours")</f>
        <v>1 to 2 hours</v>
      </c>
      <c r="K4">
        <f>ROUND(calls[[#This Row],[Satisfaction Rating]],0)</f>
        <v>5</v>
      </c>
      <c r="M4" s="9" t="s">
        <v>12</v>
      </c>
      <c r="N4" s="10" t="s">
        <v>1034</v>
      </c>
      <c r="O4" s="11">
        <v>26</v>
      </c>
      <c r="P4" s="12" t="s">
        <v>1037</v>
      </c>
    </row>
    <row r="5" spans="1:16" ht="13.8" x14ac:dyDescent="0.25">
      <c r="A5" t="s">
        <v>19</v>
      </c>
      <c r="B5" t="s">
        <v>20</v>
      </c>
      <c r="C5">
        <v>119</v>
      </c>
      <c r="D5" s="4" t="s">
        <v>18</v>
      </c>
      <c r="E5" s="5">
        <v>44927</v>
      </c>
      <c r="F5">
        <v>22</v>
      </c>
      <c r="G5">
        <v>2.9</v>
      </c>
      <c r="H5">
        <f>IF(MONTH(calls[[#This Row],[Date of Call]])&lt;=6, YEAR(calls[[#This Row],[Date of Call]]), YEAR(calls[[#This Row],[Date of Call]])+1)</f>
        <v>2023</v>
      </c>
      <c r="I5" t="str">
        <f>TEXT(calls[[#This Row],[Date of Call]],"DDDD")</f>
        <v>Sunday</v>
      </c>
      <c r="J5" t="str">
        <f t="array" ref="J5">_xlfn.IFS(calls[[#This Row],[Duration]]&lt;=10,"Under 10 mins", calls[[#This Row],[Duration]]&lt;=30, "10 to 30 mins", calls[[#This Row],[Duration]]&lt;=60, "30 to 60 mins", calls[[#This Row],[Duration]]&lt;=120, "1 to 2 hours", TRUE, "More than 2 hours")</f>
        <v>1 to 2 hours</v>
      </c>
      <c r="K5">
        <f>ROUND(calls[[#This Row],[Satisfaction Rating]],0)</f>
        <v>3</v>
      </c>
      <c r="M5" s="9" t="s">
        <v>15</v>
      </c>
      <c r="N5" s="10" t="s">
        <v>1034</v>
      </c>
      <c r="O5" s="11">
        <v>36</v>
      </c>
      <c r="P5" s="12" t="s">
        <v>1037</v>
      </c>
    </row>
    <row r="6" spans="1:16" ht="13.8" x14ac:dyDescent="0.25">
      <c r="A6" t="s">
        <v>21</v>
      </c>
      <c r="B6" t="s">
        <v>22</v>
      </c>
      <c r="C6">
        <v>128</v>
      </c>
      <c r="D6" s="4" t="s">
        <v>23</v>
      </c>
      <c r="E6" s="5">
        <v>44928</v>
      </c>
      <c r="F6">
        <v>31</v>
      </c>
      <c r="G6">
        <v>2.8</v>
      </c>
      <c r="H6">
        <f>IF(MONTH(calls[[#This Row],[Date of Call]])&lt;=6, YEAR(calls[[#This Row],[Date of Call]]), YEAR(calls[[#This Row],[Date of Call]])+1)</f>
        <v>2023</v>
      </c>
      <c r="I6" t="str">
        <f>TEXT(calls[[#This Row],[Date of Call]],"DDDD")</f>
        <v>Monday</v>
      </c>
      <c r="J6" t="str">
        <f t="array" ref="J6">_xlfn.IFS(calls[[#This Row],[Duration]]&lt;=10,"Under 10 mins", calls[[#This Row],[Duration]]&lt;=30, "10 to 30 mins", calls[[#This Row],[Duration]]&lt;=60, "30 to 60 mins", calls[[#This Row],[Duration]]&lt;=120, "1 to 2 hours", TRUE, "More than 2 hours")</f>
        <v>More than 2 hours</v>
      </c>
      <c r="K6">
        <f>ROUND(calls[[#This Row],[Satisfaction Rating]],0)</f>
        <v>3</v>
      </c>
      <c r="M6" s="9" t="s">
        <v>17</v>
      </c>
      <c r="N6" s="10" t="s">
        <v>1034</v>
      </c>
      <c r="O6" s="11">
        <v>37</v>
      </c>
      <c r="P6" s="12" t="s">
        <v>1035</v>
      </c>
    </row>
    <row r="7" spans="1:16" ht="13.8" x14ac:dyDescent="0.25">
      <c r="A7" t="s">
        <v>24</v>
      </c>
      <c r="B7" t="s">
        <v>22</v>
      </c>
      <c r="C7">
        <v>49</v>
      </c>
      <c r="D7" s="4" t="s">
        <v>18</v>
      </c>
      <c r="E7" s="5">
        <v>44929</v>
      </c>
      <c r="F7">
        <v>135</v>
      </c>
      <c r="G7">
        <v>4.8</v>
      </c>
      <c r="H7">
        <f>IF(MONTH(calls[[#This Row],[Date of Call]])&lt;=6, YEAR(calls[[#This Row],[Date of Call]]), YEAR(calls[[#This Row],[Date of Call]])+1)</f>
        <v>2023</v>
      </c>
      <c r="I7" t="str">
        <f>TEXT(calls[[#This Row],[Date of Call]],"DDDD")</f>
        <v>Tuesday</v>
      </c>
      <c r="J7" t="str">
        <f t="array" ref="J7">_xlfn.IFS(calls[[#This Row],[Duration]]&lt;=10,"Under 10 mins", calls[[#This Row],[Duration]]&lt;=30, "10 to 30 mins", calls[[#This Row],[Duration]]&lt;=60, "30 to 60 mins", calls[[#This Row],[Duration]]&lt;=120, "1 to 2 hours", TRUE, "More than 2 hours")</f>
        <v>30 to 60 mins</v>
      </c>
      <c r="K7">
        <f>ROUND(calls[[#This Row],[Satisfaction Rating]],0)</f>
        <v>5</v>
      </c>
      <c r="M7" s="9" t="s">
        <v>46</v>
      </c>
      <c r="N7" s="10" t="s">
        <v>1034</v>
      </c>
      <c r="O7" s="11">
        <v>23</v>
      </c>
      <c r="P7" s="12" t="s">
        <v>1035</v>
      </c>
    </row>
    <row r="8" spans="1:16" ht="13.8" x14ac:dyDescent="0.25">
      <c r="A8" t="s">
        <v>25</v>
      </c>
      <c r="B8" t="s">
        <v>26</v>
      </c>
      <c r="C8">
        <v>84</v>
      </c>
      <c r="D8" s="4" t="s">
        <v>13</v>
      </c>
      <c r="E8" s="5">
        <v>44929</v>
      </c>
      <c r="F8">
        <v>60</v>
      </c>
      <c r="G8">
        <v>4.7</v>
      </c>
      <c r="H8">
        <f>IF(MONTH(calls[[#This Row],[Date of Call]])&lt;=6, YEAR(calls[[#This Row],[Date of Call]]), YEAR(calls[[#This Row],[Date of Call]])+1)</f>
        <v>2023</v>
      </c>
      <c r="I8" t="str">
        <f>TEXT(calls[[#This Row],[Date of Call]],"DDDD")</f>
        <v>Tuesday</v>
      </c>
      <c r="J8" t="str">
        <f t="array" ref="J8">_xlfn.IFS(calls[[#This Row],[Duration]]&lt;=10,"Under 10 mins", calls[[#This Row],[Duration]]&lt;=30, "10 to 30 mins", calls[[#This Row],[Duration]]&lt;=60, "30 to 60 mins", calls[[#This Row],[Duration]]&lt;=120, "1 to 2 hours", TRUE, "More than 2 hours")</f>
        <v>1 to 2 hours</v>
      </c>
      <c r="K8">
        <f>ROUND(calls[[#This Row],[Satisfaction Rating]],0)</f>
        <v>5</v>
      </c>
      <c r="M8" s="9" t="s">
        <v>26</v>
      </c>
      <c r="N8" s="10" t="s">
        <v>1038</v>
      </c>
      <c r="O8" s="11">
        <v>22</v>
      </c>
      <c r="P8" s="12" t="s">
        <v>1036</v>
      </c>
    </row>
    <row r="9" spans="1:16" ht="13.8" x14ac:dyDescent="0.25">
      <c r="A9" t="s">
        <v>27</v>
      </c>
      <c r="B9" t="s">
        <v>12</v>
      </c>
      <c r="C9">
        <v>103</v>
      </c>
      <c r="D9" s="4" t="s">
        <v>28</v>
      </c>
      <c r="E9" s="5">
        <v>44929</v>
      </c>
      <c r="F9">
        <v>148</v>
      </c>
      <c r="G9">
        <v>4.4000000000000004</v>
      </c>
      <c r="H9">
        <f>IF(MONTH(calls[[#This Row],[Date of Call]])&lt;=6, YEAR(calls[[#This Row],[Date of Call]]), YEAR(calls[[#This Row],[Date of Call]])+1)</f>
        <v>2023</v>
      </c>
      <c r="I9" t="str">
        <f>TEXT(calls[[#This Row],[Date of Call]],"DDDD")</f>
        <v>Tuesday</v>
      </c>
      <c r="J9" t="str">
        <f t="array" ref="J9">_xlfn.IFS(calls[[#This Row],[Duration]]&lt;=10,"Under 10 mins", calls[[#This Row],[Duration]]&lt;=30, "10 to 30 mins", calls[[#This Row],[Duration]]&lt;=60, "30 to 60 mins", calls[[#This Row],[Duration]]&lt;=120, "1 to 2 hours", TRUE, "More than 2 hours")</f>
        <v>1 to 2 hours</v>
      </c>
      <c r="K9">
        <f>ROUND(calls[[#This Row],[Satisfaction Rating]],0)</f>
        <v>4</v>
      </c>
      <c r="M9" s="9" t="s">
        <v>84</v>
      </c>
      <c r="N9" s="10" t="s">
        <v>1038</v>
      </c>
      <c r="O9" s="11">
        <v>42</v>
      </c>
      <c r="P9" s="12" t="s">
        <v>1036</v>
      </c>
    </row>
    <row r="10" spans="1:16" ht="13.8" x14ac:dyDescent="0.25">
      <c r="A10" t="s">
        <v>29</v>
      </c>
      <c r="B10" t="s">
        <v>17</v>
      </c>
      <c r="C10">
        <v>31</v>
      </c>
      <c r="D10" s="4" t="s">
        <v>18</v>
      </c>
      <c r="E10" s="5">
        <v>44929</v>
      </c>
      <c r="F10">
        <v>135</v>
      </c>
      <c r="G10">
        <v>3.6</v>
      </c>
      <c r="H10">
        <f>IF(MONTH(calls[[#This Row],[Date of Call]])&lt;=6, YEAR(calls[[#This Row],[Date of Call]]), YEAR(calls[[#This Row],[Date of Call]])+1)</f>
        <v>2023</v>
      </c>
      <c r="I10" t="str">
        <f>TEXT(calls[[#This Row],[Date of Call]],"DDDD")</f>
        <v>Tuesday</v>
      </c>
      <c r="J10" t="str">
        <f t="array" ref="J10">_xlfn.IFS(calls[[#This Row],[Duration]]&lt;=10,"Under 10 mins", calls[[#This Row],[Duration]]&lt;=30, "10 to 30 mins", calls[[#This Row],[Duration]]&lt;=60, "30 to 60 mins", calls[[#This Row],[Duration]]&lt;=120, "1 to 2 hours", TRUE, "More than 2 hours")</f>
        <v>30 to 60 mins</v>
      </c>
      <c r="K10">
        <f>ROUND(calls[[#This Row],[Satisfaction Rating]],0)</f>
        <v>4</v>
      </c>
      <c r="M10" s="9" t="s">
        <v>43</v>
      </c>
      <c r="N10" s="10" t="s">
        <v>1038</v>
      </c>
      <c r="O10" s="11">
        <v>25</v>
      </c>
      <c r="P10" s="12" t="s">
        <v>1035</v>
      </c>
    </row>
    <row r="11" spans="1:16" ht="13.8" x14ac:dyDescent="0.25">
      <c r="A11" t="s">
        <v>30</v>
      </c>
      <c r="B11" t="s">
        <v>31</v>
      </c>
      <c r="C11">
        <v>44</v>
      </c>
      <c r="D11" s="4" t="s">
        <v>32</v>
      </c>
      <c r="E11" s="5">
        <v>44929</v>
      </c>
      <c r="F11">
        <v>105</v>
      </c>
      <c r="G11">
        <v>2.9</v>
      </c>
      <c r="H11">
        <f>IF(MONTH(calls[[#This Row],[Date of Call]])&lt;=6, YEAR(calls[[#This Row],[Date of Call]]), YEAR(calls[[#This Row],[Date of Call]])+1)</f>
        <v>2023</v>
      </c>
      <c r="I11" t="str">
        <f>TEXT(calls[[#This Row],[Date of Call]],"DDDD")</f>
        <v>Tuesday</v>
      </c>
      <c r="J11" t="str">
        <f t="array" ref="J11">_xlfn.IFS(calls[[#This Row],[Duration]]&lt;=10,"Under 10 mins", calls[[#This Row],[Duration]]&lt;=30, "10 to 30 mins", calls[[#This Row],[Duration]]&lt;=60, "30 to 60 mins", calls[[#This Row],[Duration]]&lt;=120, "1 to 2 hours", TRUE, "More than 2 hours")</f>
        <v>30 to 60 mins</v>
      </c>
      <c r="K11">
        <f>ROUND(calls[[#This Row],[Satisfaction Rating]],0)</f>
        <v>3</v>
      </c>
      <c r="M11" s="9" t="s">
        <v>31</v>
      </c>
      <c r="N11" s="10" t="s">
        <v>1038</v>
      </c>
      <c r="O11" s="11">
        <v>30</v>
      </c>
      <c r="P11" s="12" t="s">
        <v>1036</v>
      </c>
    </row>
    <row r="12" spans="1:16" ht="13.8" x14ac:dyDescent="0.25">
      <c r="A12" t="s">
        <v>33</v>
      </c>
      <c r="B12" t="s">
        <v>22</v>
      </c>
      <c r="C12">
        <v>102</v>
      </c>
      <c r="D12" s="4" t="s">
        <v>18</v>
      </c>
      <c r="E12" s="5">
        <v>44929</v>
      </c>
      <c r="F12">
        <v>69</v>
      </c>
      <c r="G12">
        <v>4.9000000000000004</v>
      </c>
      <c r="H12">
        <f>IF(MONTH(calls[[#This Row],[Date of Call]])&lt;=6, YEAR(calls[[#This Row],[Date of Call]]), YEAR(calls[[#This Row],[Date of Call]])+1)</f>
        <v>2023</v>
      </c>
      <c r="I12" t="str">
        <f>TEXT(calls[[#This Row],[Date of Call]],"DDDD")</f>
        <v>Tuesday</v>
      </c>
      <c r="J12" t="str">
        <f t="array" ref="J12">_xlfn.IFS(calls[[#This Row],[Duration]]&lt;=10,"Under 10 mins", calls[[#This Row],[Duration]]&lt;=30, "10 to 30 mins", calls[[#This Row],[Duration]]&lt;=60, "30 to 60 mins", calls[[#This Row],[Duration]]&lt;=120, "1 to 2 hours", TRUE, "More than 2 hours")</f>
        <v>1 to 2 hours</v>
      </c>
      <c r="K12">
        <f>ROUND(calls[[#This Row],[Satisfaction Rating]],0)</f>
        <v>5</v>
      </c>
      <c r="M12" s="9" t="s">
        <v>22</v>
      </c>
      <c r="N12" s="10" t="s">
        <v>1038</v>
      </c>
      <c r="O12" s="11">
        <v>30</v>
      </c>
      <c r="P12" s="12" t="s">
        <v>1037</v>
      </c>
    </row>
    <row r="13" spans="1:16" ht="13.8" x14ac:dyDescent="0.25">
      <c r="A13" t="s">
        <v>34</v>
      </c>
      <c r="B13" t="s">
        <v>35</v>
      </c>
      <c r="C13">
        <v>135</v>
      </c>
      <c r="D13" s="4" t="s">
        <v>13</v>
      </c>
      <c r="E13" s="5">
        <v>44929</v>
      </c>
      <c r="F13">
        <v>46</v>
      </c>
      <c r="G13">
        <v>3.4</v>
      </c>
      <c r="H13">
        <f>IF(MONTH(calls[[#This Row],[Date of Call]])&lt;=6, YEAR(calls[[#This Row],[Date of Call]]), YEAR(calls[[#This Row],[Date of Call]])+1)</f>
        <v>2023</v>
      </c>
      <c r="I13" t="str">
        <f>TEXT(calls[[#This Row],[Date of Call]],"DDDD")</f>
        <v>Tuesday</v>
      </c>
      <c r="J13" t="str">
        <f t="array" ref="J13">_xlfn.IFS(calls[[#This Row],[Duration]]&lt;=10,"Under 10 mins", calls[[#This Row],[Duration]]&lt;=30, "10 to 30 mins", calls[[#This Row],[Duration]]&lt;=60, "30 to 60 mins", calls[[#This Row],[Duration]]&lt;=120, "1 to 2 hours", TRUE, "More than 2 hours")</f>
        <v>More than 2 hours</v>
      </c>
      <c r="K13">
        <f>ROUND(calls[[#This Row],[Satisfaction Rating]],0)</f>
        <v>3</v>
      </c>
      <c r="M13" s="9" t="s">
        <v>54</v>
      </c>
      <c r="N13" s="10" t="s">
        <v>1038</v>
      </c>
      <c r="O13" s="11">
        <v>28</v>
      </c>
      <c r="P13" s="12" t="s">
        <v>1037</v>
      </c>
    </row>
    <row r="14" spans="1:16" ht="13.8" x14ac:dyDescent="0.25">
      <c r="A14" t="s">
        <v>36</v>
      </c>
      <c r="B14" t="s">
        <v>37</v>
      </c>
      <c r="C14">
        <v>98</v>
      </c>
      <c r="D14" s="4" t="s">
        <v>18</v>
      </c>
      <c r="E14" s="5">
        <v>44930</v>
      </c>
      <c r="F14">
        <v>108</v>
      </c>
      <c r="G14">
        <v>3.5</v>
      </c>
      <c r="H14">
        <f>IF(MONTH(calls[[#This Row],[Date of Call]])&lt;=6, YEAR(calls[[#This Row],[Date of Call]]), YEAR(calls[[#This Row],[Date of Call]])+1)</f>
        <v>2023</v>
      </c>
      <c r="I14" t="str">
        <f>TEXT(calls[[#This Row],[Date of Call]],"DDDD")</f>
        <v>Wednesday</v>
      </c>
      <c r="J14" t="str">
        <f t="array" ref="J14">_xlfn.IFS(calls[[#This Row],[Duration]]&lt;=10,"Under 10 mins", calls[[#This Row],[Duration]]&lt;=30, "10 to 30 mins", calls[[#This Row],[Duration]]&lt;=60, "30 to 60 mins", calls[[#This Row],[Duration]]&lt;=120, "1 to 2 hours", TRUE, "More than 2 hours")</f>
        <v>1 to 2 hours</v>
      </c>
      <c r="K14">
        <f>ROUND(calls[[#This Row],[Satisfaction Rating]],0)</f>
        <v>4</v>
      </c>
      <c r="M14" s="9" t="s">
        <v>35</v>
      </c>
      <c r="N14" s="10" t="s">
        <v>1038</v>
      </c>
      <c r="O14" s="11">
        <v>37</v>
      </c>
      <c r="P14" s="12" t="s">
        <v>1036</v>
      </c>
    </row>
    <row r="15" spans="1:16" ht="13.8" x14ac:dyDescent="0.25">
      <c r="A15" t="s">
        <v>38</v>
      </c>
      <c r="B15" t="s">
        <v>31</v>
      </c>
      <c r="C15">
        <v>139</v>
      </c>
      <c r="D15" s="4" t="s">
        <v>18</v>
      </c>
      <c r="E15" s="5">
        <v>44930</v>
      </c>
      <c r="F15">
        <v>96</v>
      </c>
      <c r="G15">
        <v>4</v>
      </c>
      <c r="H15">
        <f>IF(MONTH(calls[[#This Row],[Date of Call]])&lt;=6, YEAR(calls[[#This Row],[Date of Call]]), YEAR(calls[[#This Row],[Date of Call]])+1)</f>
        <v>2023</v>
      </c>
      <c r="I15" t="str">
        <f>TEXT(calls[[#This Row],[Date of Call]],"DDDD")</f>
        <v>Wednesday</v>
      </c>
      <c r="J15" t="str">
        <f t="array" ref="J15">_xlfn.IFS(calls[[#This Row],[Duration]]&lt;=10,"Under 10 mins", calls[[#This Row],[Duration]]&lt;=30, "10 to 30 mins", calls[[#This Row],[Duration]]&lt;=60, "30 to 60 mins", calls[[#This Row],[Duration]]&lt;=120, "1 to 2 hours", TRUE, "More than 2 hours")</f>
        <v>More than 2 hours</v>
      </c>
      <c r="K15">
        <f>ROUND(calls[[#This Row],[Satisfaction Rating]],0)</f>
        <v>4</v>
      </c>
      <c r="M15" s="9" t="s">
        <v>20</v>
      </c>
      <c r="N15" s="10" t="s">
        <v>1038</v>
      </c>
      <c r="O15" s="11">
        <v>38</v>
      </c>
      <c r="P15" s="12" t="s">
        <v>1035</v>
      </c>
    </row>
    <row r="16" spans="1:16" ht="13.8" x14ac:dyDescent="0.25">
      <c r="A16" t="s">
        <v>39</v>
      </c>
      <c r="B16" t="s">
        <v>35</v>
      </c>
      <c r="C16">
        <v>48</v>
      </c>
      <c r="D16" s="4" t="s">
        <v>23</v>
      </c>
      <c r="E16" s="5">
        <v>44930</v>
      </c>
      <c r="F16">
        <v>68</v>
      </c>
      <c r="G16">
        <v>4.9000000000000004</v>
      </c>
      <c r="H16">
        <f>IF(MONTH(calls[[#This Row],[Date of Call]])&lt;=6, YEAR(calls[[#This Row],[Date of Call]]), YEAR(calls[[#This Row],[Date of Call]])+1)</f>
        <v>2023</v>
      </c>
      <c r="I16" t="str">
        <f>TEXT(calls[[#This Row],[Date of Call]],"DDDD")</f>
        <v>Wednesday</v>
      </c>
      <c r="J16" t="str">
        <f t="array" ref="J16">_xlfn.IFS(calls[[#This Row],[Duration]]&lt;=10,"Under 10 mins", calls[[#This Row],[Duration]]&lt;=30, "10 to 30 mins", calls[[#This Row],[Duration]]&lt;=60, "30 to 60 mins", calls[[#This Row],[Duration]]&lt;=120, "1 to 2 hours", TRUE, "More than 2 hours")</f>
        <v>30 to 60 mins</v>
      </c>
      <c r="K16">
        <f>ROUND(calls[[#This Row],[Satisfaction Rating]],0)</f>
        <v>5</v>
      </c>
      <c r="M16" s="13" t="s">
        <v>51</v>
      </c>
      <c r="N16" s="14" t="s">
        <v>1038</v>
      </c>
      <c r="O16" s="15">
        <v>43</v>
      </c>
      <c r="P16" s="16" t="s">
        <v>1036</v>
      </c>
    </row>
    <row r="17" spans="1:11" ht="13.8" x14ac:dyDescent="0.25">
      <c r="A17" t="s">
        <v>40</v>
      </c>
      <c r="B17" t="s">
        <v>31</v>
      </c>
      <c r="C17">
        <v>176</v>
      </c>
      <c r="D17" s="4" t="s">
        <v>13</v>
      </c>
      <c r="E17" s="5">
        <v>44931</v>
      </c>
      <c r="F17">
        <v>24</v>
      </c>
      <c r="G17">
        <v>4.8</v>
      </c>
      <c r="H17">
        <f>IF(MONTH(calls[[#This Row],[Date of Call]])&lt;=6, YEAR(calls[[#This Row],[Date of Call]]), YEAR(calls[[#This Row],[Date of Call]])+1)</f>
        <v>2023</v>
      </c>
      <c r="I17" t="str">
        <f>TEXT(calls[[#This Row],[Date of Call]],"DDDD")</f>
        <v>Thursday</v>
      </c>
      <c r="J17" t="str">
        <f t="array" ref="J17">_xlfn.IFS(calls[[#This Row],[Duration]]&lt;=10,"Under 10 mins", calls[[#This Row],[Duration]]&lt;=30, "10 to 30 mins", calls[[#This Row],[Duration]]&lt;=60, "30 to 60 mins", calls[[#This Row],[Duration]]&lt;=120, "1 to 2 hours", TRUE, "More than 2 hours")</f>
        <v>More than 2 hours</v>
      </c>
      <c r="K17">
        <f>ROUND(calls[[#This Row],[Satisfaction Rating]],0)</f>
        <v>5</v>
      </c>
    </row>
    <row r="18" spans="1:11" ht="13.8" x14ac:dyDescent="0.25">
      <c r="A18" t="s">
        <v>41</v>
      </c>
      <c r="B18" t="s">
        <v>31</v>
      </c>
      <c r="C18">
        <v>99</v>
      </c>
      <c r="D18" s="4" t="s">
        <v>23</v>
      </c>
      <c r="E18" s="5">
        <v>44931</v>
      </c>
      <c r="F18">
        <v>195</v>
      </c>
      <c r="G18">
        <v>3.9</v>
      </c>
      <c r="H18">
        <f>IF(MONTH(calls[[#This Row],[Date of Call]])&lt;=6, YEAR(calls[[#This Row],[Date of Call]]), YEAR(calls[[#This Row],[Date of Call]])+1)</f>
        <v>2023</v>
      </c>
      <c r="I18" t="str">
        <f>TEXT(calls[[#This Row],[Date of Call]],"DDDD")</f>
        <v>Thursday</v>
      </c>
      <c r="J18" t="str">
        <f t="array" ref="J18">_xlfn.IFS(calls[[#This Row],[Duration]]&lt;=10,"Under 10 mins", calls[[#This Row],[Duration]]&lt;=30, "10 to 30 mins", calls[[#This Row],[Duration]]&lt;=60, "30 to 60 mins", calls[[#This Row],[Duration]]&lt;=120, "1 to 2 hours", TRUE, "More than 2 hours")</f>
        <v>1 to 2 hours</v>
      </c>
      <c r="K18">
        <f>ROUND(calls[[#This Row],[Satisfaction Rating]],0)</f>
        <v>4</v>
      </c>
    </row>
    <row r="19" spans="1:11" ht="13.8" x14ac:dyDescent="0.25">
      <c r="A19" t="s">
        <v>42</v>
      </c>
      <c r="B19" t="s">
        <v>43</v>
      </c>
      <c r="C19">
        <v>28</v>
      </c>
      <c r="D19" s="4" t="s">
        <v>32</v>
      </c>
      <c r="E19" s="5">
        <v>44931</v>
      </c>
      <c r="F19">
        <v>28</v>
      </c>
      <c r="G19">
        <v>3.8</v>
      </c>
      <c r="H19">
        <f>IF(MONTH(calls[[#This Row],[Date of Call]])&lt;=6, YEAR(calls[[#This Row],[Date of Call]]), YEAR(calls[[#This Row],[Date of Call]])+1)</f>
        <v>2023</v>
      </c>
      <c r="I19" t="str">
        <f>TEXT(calls[[#This Row],[Date of Call]],"DDDD")</f>
        <v>Thursday</v>
      </c>
      <c r="J19" t="str">
        <f t="array" ref="J19">_xlfn.IFS(calls[[#This Row],[Duration]]&lt;=10,"Under 10 mins", calls[[#This Row],[Duration]]&lt;=30, "10 to 30 mins", calls[[#This Row],[Duration]]&lt;=60, "30 to 60 mins", calls[[#This Row],[Duration]]&lt;=120, "1 to 2 hours", TRUE, "More than 2 hours")</f>
        <v>10 to 30 mins</v>
      </c>
      <c r="K19">
        <f>ROUND(calls[[#This Row],[Satisfaction Rating]],0)</f>
        <v>4</v>
      </c>
    </row>
    <row r="20" spans="1:11" ht="13.8" x14ac:dyDescent="0.25">
      <c r="A20" t="s">
        <v>44</v>
      </c>
      <c r="B20" t="s">
        <v>26</v>
      </c>
      <c r="C20">
        <v>54</v>
      </c>
      <c r="D20" s="4" t="s">
        <v>18</v>
      </c>
      <c r="E20" s="5">
        <v>44931</v>
      </c>
      <c r="F20">
        <v>170</v>
      </c>
      <c r="G20">
        <v>4.3</v>
      </c>
      <c r="H20">
        <f>IF(MONTH(calls[[#This Row],[Date of Call]])&lt;=6, YEAR(calls[[#This Row],[Date of Call]]), YEAR(calls[[#This Row],[Date of Call]])+1)</f>
        <v>2023</v>
      </c>
      <c r="I20" t="str">
        <f>TEXT(calls[[#This Row],[Date of Call]],"DDDD")</f>
        <v>Thursday</v>
      </c>
      <c r="J20" t="str">
        <f t="array" ref="J20">_xlfn.IFS(calls[[#This Row],[Duration]]&lt;=10,"Under 10 mins", calls[[#This Row],[Duration]]&lt;=30, "10 to 30 mins", calls[[#This Row],[Duration]]&lt;=60, "30 to 60 mins", calls[[#This Row],[Duration]]&lt;=120, "1 to 2 hours", TRUE, "More than 2 hours")</f>
        <v>30 to 60 mins</v>
      </c>
      <c r="K20">
        <f>ROUND(calls[[#This Row],[Satisfaction Rating]],0)</f>
        <v>4</v>
      </c>
    </row>
    <row r="21" spans="1:11" ht="13.8" x14ac:dyDescent="0.25">
      <c r="A21" t="s">
        <v>45</v>
      </c>
      <c r="B21" t="s">
        <v>46</v>
      </c>
      <c r="C21">
        <v>48</v>
      </c>
      <c r="D21" s="4" t="s">
        <v>13</v>
      </c>
      <c r="E21" s="5">
        <v>44932</v>
      </c>
      <c r="F21">
        <v>30</v>
      </c>
      <c r="G21">
        <v>4.4000000000000004</v>
      </c>
      <c r="H21">
        <f>IF(MONTH(calls[[#This Row],[Date of Call]])&lt;=6, YEAR(calls[[#This Row],[Date of Call]]), YEAR(calls[[#This Row],[Date of Call]])+1)</f>
        <v>2023</v>
      </c>
      <c r="I21" t="str">
        <f>TEXT(calls[[#This Row],[Date of Call]],"DDDD")</f>
        <v>Friday</v>
      </c>
      <c r="J21" t="str">
        <f t="array" ref="J21">_xlfn.IFS(calls[[#This Row],[Duration]]&lt;=10,"Under 10 mins", calls[[#This Row],[Duration]]&lt;=30, "10 to 30 mins", calls[[#This Row],[Duration]]&lt;=60, "30 to 60 mins", calls[[#This Row],[Duration]]&lt;=120, "1 to 2 hours", TRUE, "More than 2 hours")</f>
        <v>30 to 60 mins</v>
      </c>
      <c r="K21">
        <f>ROUND(calls[[#This Row],[Satisfaction Rating]],0)</f>
        <v>4</v>
      </c>
    </row>
    <row r="22" spans="1:11" ht="13.8" x14ac:dyDescent="0.25">
      <c r="A22" t="s">
        <v>47</v>
      </c>
      <c r="B22" t="s">
        <v>15</v>
      </c>
      <c r="C22">
        <v>128</v>
      </c>
      <c r="D22" s="4" t="s">
        <v>13</v>
      </c>
      <c r="E22" s="5">
        <v>44932</v>
      </c>
      <c r="F22">
        <v>72</v>
      </c>
      <c r="G22">
        <v>5</v>
      </c>
      <c r="H22">
        <f>IF(MONTH(calls[[#This Row],[Date of Call]])&lt;=6, YEAR(calls[[#This Row],[Date of Call]]), YEAR(calls[[#This Row],[Date of Call]])+1)</f>
        <v>2023</v>
      </c>
      <c r="I22" t="str">
        <f>TEXT(calls[[#This Row],[Date of Call]],"DDDD")</f>
        <v>Friday</v>
      </c>
      <c r="J22" t="str">
        <f t="array" ref="J22">_xlfn.IFS(calls[[#This Row],[Duration]]&lt;=10,"Under 10 mins", calls[[#This Row],[Duration]]&lt;=30, "10 to 30 mins", calls[[#This Row],[Duration]]&lt;=60, "30 to 60 mins", calls[[#This Row],[Duration]]&lt;=120, "1 to 2 hours", TRUE, "More than 2 hours")</f>
        <v>More than 2 hours</v>
      </c>
      <c r="K22">
        <f>ROUND(calls[[#This Row],[Satisfaction Rating]],0)</f>
        <v>5</v>
      </c>
    </row>
    <row r="23" spans="1:11" ht="13.8" x14ac:dyDescent="0.25">
      <c r="A23" t="s">
        <v>48</v>
      </c>
      <c r="B23" t="s">
        <v>15</v>
      </c>
      <c r="C23">
        <v>38</v>
      </c>
      <c r="D23" s="4" t="s">
        <v>28</v>
      </c>
      <c r="E23" s="5">
        <v>44933</v>
      </c>
      <c r="F23">
        <v>92</v>
      </c>
      <c r="G23">
        <v>4.9000000000000004</v>
      </c>
      <c r="H23">
        <f>IF(MONTH(calls[[#This Row],[Date of Call]])&lt;=6, YEAR(calls[[#This Row],[Date of Call]]), YEAR(calls[[#This Row],[Date of Call]])+1)</f>
        <v>2023</v>
      </c>
      <c r="I23" t="str">
        <f>TEXT(calls[[#This Row],[Date of Call]],"DDDD")</f>
        <v>Saturday</v>
      </c>
      <c r="J23" t="str">
        <f t="array" ref="J23">_xlfn.IFS(calls[[#This Row],[Duration]]&lt;=10,"Under 10 mins", calls[[#This Row],[Duration]]&lt;=30, "10 to 30 mins", calls[[#This Row],[Duration]]&lt;=60, "30 to 60 mins", calls[[#This Row],[Duration]]&lt;=120, "1 to 2 hours", TRUE, "More than 2 hours")</f>
        <v>30 to 60 mins</v>
      </c>
      <c r="K23">
        <f>ROUND(calls[[#This Row],[Satisfaction Rating]],0)</f>
        <v>5</v>
      </c>
    </row>
    <row r="24" spans="1:11" ht="13.8" x14ac:dyDescent="0.25">
      <c r="A24" t="s">
        <v>49</v>
      </c>
      <c r="B24" t="s">
        <v>12</v>
      </c>
      <c r="C24">
        <v>67</v>
      </c>
      <c r="D24" s="4" t="s">
        <v>28</v>
      </c>
      <c r="E24" s="5">
        <v>44934</v>
      </c>
      <c r="F24">
        <v>165</v>
      </c>
      <c r="G24">
        <v>4.5</v>
      </c>
      <c r="H24">
        <f>IF(MONTH(calls[[#This Row],[Date of Call]])&lt;=6, YEAR(calls[[#This Row],[Date of Call]]), YEAR(calls[[#This Row],[Date of Call]])+1)</f>
        <v>2023</v>
      </c>
      <c r="I24" t="str">
        <f>TEXT(calls[[#This Row],[Date of Call]],"DDDD")</f>
        <v>Sunday</v>
      </c>
      <c r="J24" t="str">
        <f t="array" ref="J24">_xlfn.IFS(calls[[#This Row],[Duration]]&lt;=10,"Under 10 mins", calls[[#This Row],[Duration]]&lt;=30, "10 to 30 mins", calls[[#This Row],[Duration]]&lt;=60, "30 to 60 mins", calls[[#This Row],[Duration]]&lt;=120, "1 to 2 hours", TRUE, "More than 2 hours")</f>
        <v>1 to 2 hours</v>
      </c>
      <c r="K24">
        <f>ROUND(calls[[#This Row],[Satisfaction Rating]],0)</f>
        <v>5</v>
      </c>
    </row>
    <row r="25" spans="1:11" ht="13.8" x14ac:dyDescent="0.25">
      <c r="A25" t="s">
        <v>50</v>
      </c>
      <c r="B25" t="s">
        <v>51</v>
      </c>
      <c r="C25">
        <v>58</v>
      </c>
      <c r="D25" s="4" t="s">
        <v>18</v>
      </c>
      <c r="E25" s="5">
        <v>44934</v>
      </c>
      <c r="F25">
        <v>140</v>
      </c>
      <c r="G25">
        <v>2.1</v>
      </c>
      <c r="H25">
        <f>IF(MONTH(calls[[#This Row],[Date of Call]])&lt;=6, YEAR(calls[[#This Row],[Date of Call]]), YEAR(calls[[#This Row],[Date of Call]])+1)</f>
        <v>2023</v>
      </c>
      <c r="I25" t="str">
        <f>TEXT(calls[[#This Row],[Date of Call]],"DDDD")</f>
        <v>Sunday</v>
      </c>
      <c r="J25" t="str">
        <f t="array" ref="J25">_xlfn.IFS(calls[[#This Row],[Duration]]&lt;=10,"Under 10 mins", calls[[#This Row],[Duration]]&lt;=30, "10 to 30 mins", calls[[#This Row],[Duration]]&lt;=60, "30 to 60 mins", calls[[#This Row],[Duration]]&lt;=120, "1 to 2 hours", TRUE, "More than 2 hours")</f>
        <v>30 to 60 mins</v>
      </c>
      <c r="K25">
        <f>ROUND(calls[[#This Row],[Satisfaction Rating]],0)</f>
        <v>2</v>
      </c>
    </row>
    <row r="26" spans="1:11" ht="13.8" x14ac:dyDescent="0.25">
      <c r="A26" t="s">
        <v>52</v>
      </c>
      <c r="B26" t="s">
        <v>31</v>
      </c>
      <c r="C26">
        <v>54</v>
      </c>
      <c r="D26" s="4" t="s">
        <v>23</v>
      </c>
      <c r="E26" s="5">
        <v>44934</v>
      </c>
      <c r="F26">
        <v>111</v>
      </c>
      <c r="G26">
        <v>3.3</v>
      </c>
      <c r="H26">
        <f>IF(MONTH(calls[[#This Row],[Date of Call]])&lt;=6, YEAR(calls[[#This Row],[Date of Call]]), YEAR(calls[[#This Row],[Date of Call]])+1)</f>
        <v>2023</v>
      </c>
      <c r="I26" t="str">
        <f>TEXT(calls[[#This Row],[Date of Call]],"DDDD")</f>
        <v>Sunday</v>
      </c>
      <c r="J26" t="str">
        <f t="array" ref="J26">_xlfn.IFS(calls[[#This Row],[Duration]]&lt;=10,"Under 10 mins", calls[[#This Row],[Duration]]&lt;=30, "10 to 30 mins", calls[[#This Row],[Duration]]&lt;=60, "30 to 60 mins", calls[[#This Row],[Duration]]&lt;=120, "1 to 2 hours", TRUE, "More than 2 hours")</f>
        <v>30 to 60 mins</v>
      </c>
      <c r="K26">
        <f>ROUND(calls[[#This Row],[Satisfaction Rating]],0)</f>
        <v>3</v>
      </c>
    </row>
    <row r="27" spans="1:11" ht="13.8" x14ac:dyDescent="0.25">
      <c r="A27" t="s">
        <v>53</v>
      </c>
      <c r="B27" t="s">
        <v>54</v>
      </c>
      <c r="C27">
        <v>28</v>
      </c>
      <c r="D27" s="4" t="s">
        <v>13</v>
      </c>
      <c r="E27" s="5">
        <v>44935</v>
      </c>
      <c r="F27">
        <v>63</v>
      </c>
      <c r="G27">
        <v>4.0999999999999996</v>
      </c>
      <c r="H27">
        <f>IF(MONTH(calls[[#This Row],[Date of Call]])&lt;=6, YEAR(calls[[#This Row],[Date of Call]]), YEAR(calls[[#This Row],[Date of Call]])+1)</f>
        <v>2023</v>
      </c>
      <c r="I27" t="str">
        <f>TEXT(calls[[#This Row],[Date of Call]],"DDDD")</f>
        <v>Monday</v>
      </c>
      <c r="J27" t="str">
        <f t="array" ref="J27">_xlfn.IFS(calls[[#This Row],[Duration]]&lt;=10,"Under 10 mins", calls[[#This Row],[Duration]]&lt;=30, "10 to 30 mins", calls[[#This Row],[Duration]]&lt;=60, "30 to 60 mins", calls[[#This Row],[Duration]]&lt;=120, "1 to 2 hours", TRUE, "More than 2 hours")</f>
        <v>10 to 30 mins</v>
      </c>
      <c r="K27">
        <f>ROUND(calls[[#This Row],[Satisfaction Rating]],0)</f>
        <v>4</v>
      </c>
    </row>
    <row r="28" spans="1:11" ht="13.8" x14ac:dyDescent="0.25">
      <c r="A28" t="s">
        <v>55</v>
      </c>
      <c r="B28" t="s">
        <v>37</v>
      </c>
      <c r="C28">
        <v>73</v>
      </c>
      <c r="D28" s="4" t="s">
        <v>13</v>
      </c>
      <c r="E28" s="5">
        <v>44935</v>
      </c>
      <c r="F28">
        <v>80</v>
      </c>
      <c r="G28">
        <v>4.2</v>
      </c>
      <c r="H28">
        <f>IF(MONTH(calls[[#This Row],[Date of Call]])&lt;=6, YEAR(calls[[#This Row],[Date of Call]]), YEAR(calls[[#This Row],[Date of Call]])+1)</f>
        <v>2023</v>
      </c>
      <c r="I28" t="str">
        <f>TEXT(calls[[#This Row],[Date of Call]],"DDDD")</f>
        <v>Monday</v>
      </c>
      <c r="J28" t="str">
        <f t="array" ref="J28">_xlfn.IFS(calls[[#This Row],[Duration]]&lt;=10,"Under 10 mins", calls[[#This Row],[Duration]]&lt;=30, "10 to 30 mins", calls[[#This Row],[Duration]]&lt;=60, "30 to 60 mins", calls[[#This Row],[Duration]]&lt;=120, "1 to 2 hours", TRUE, "More than 2 hours")</f>
        <v>1 to 2 hours</v>
      </c>
      <c r="K28">
        <f>ROUND(calls[[#This Row],[Satisfaction Rating]],0)</f>
        <v>4</v>
      </c>
    </row>
    <row r="29" spans="1:11" ht="13.8" x14ac:dyDescent="0.25">
      <c r="A29" t="s">
        <v>56</v>
      </c>
      <c r="B29" t="s">
        <v>22</v>
      </c>
      <c r="C29">
        <v>81</v>
      </c>
      <c r="D29" s="4" t="s">
        <v>13</v>
      </c>
      <c r="E29" s="5">
        <v>44936</v>
      </c>
      <c r="F29">
        <v>50</v>
      </c>
      <c r="G29">
        <v>4.5999999999999996</v>
      </c>
      <c r="H29">
        <f>IF(MONTH(calls[[#This Row],[Date of Call]])&lt;=6, YEAR(calls[[#This Row],[Date of Call]]), YEAR(calls[[#This Row],[Date of Call]])+1)</f>
        <v>2023</v>
      </c>
      <c r="I29" t="str">
        <f>TEXT(calls[[#This Row],[Date of Call]],"DDDD")</f>
        <v>Tuesday</v>
      </c>
      <c r="J29" t="str">
        <f t="array" ref="J29">_xlfn.IFS(calls[[#This Row],[Duration]]&lt;=10,"Under 10 mins", calls[[#This Row],[Duration]]&lt;=30, "10 to 30 mins", calls[[#This Row],[Duration]]&lt;=60, "30 to 60 mins", calls[[#This Row],[Duration]]&lt;=120, "1 to 2 hours", TRUE, "More than 2 hours")</f>
        <v>1 to 2 hours</v>
      </c>
      <c r="K29">
        <f>ROUND(calls[[#This Row],[Satisfaction Rating]],0)</f>
        <v>5</v>
      </c>
    </row>
    <row r="30" spans="1:11" ht="13.8" x14ac:dyDescent="0.25">
      <c r="A30" t="s">
        <v>57</v>
      </c>
      <c r="B30" t="s">
        <v>43</v>
      </c>
      <c r="C30">
        <v>31</v>
      </c>
      <c r="D30" s="4" t="s">
        <v>28</v>
      </c>
      <c r="E30" s="5">
        <v>44936</v>
      </c>
      <c r="F30">
        <v>123</v>
      </c>
      <c r="G30">
        <v>2.9</v>
      </c>
      <c r="H30">
        <f>IF(MONTH(calls[[#This Row],[Date of Call]])&lt;=6, YEAR(calls[[#This Row],[Date of Call]]), YEAR(calls[[#This Row],[Date of Call]])+1)</f>
        <v>2023</v>
      </c>
      <c r="I30" t="str">
        <f>TEXT(calls[[#This Row],[Date of Call]],"DDDD")</f>
        <v>Tuesday</v>
      </c>
      <c r="J30" t="str">
        <f t="array" ref="J30">_xlfn.IFS(calls[[#This Row],[Duration]]&lt;=10,"Under 10 mins", calls[[#This Row],[Duration]]&lt;=30, "10 to 30 mins", calls[[#This Row],[Duration]]&lt;=60, "30 to 60 mins", calls[[#This Row],[Duration]]&lt;=120, "1 to 2 hours", TRUE, "More than 2 hours")</f>
        <v>30 to 60 mins</v>
      </c>
      <c r="K30">
        <f>ROUND(calls[[#This Row],[Satisfaction Rating]],0)</f>
        <v>3</v>
      </c>
    </row>
    <row r="31" spans="1:11" ht="13.8" x14ac:dyDescent="0.25">
      <c r="A31" t="s">
        <v>58</v>
      </c>
      <c r="B31" t="s">
        <v>51</v>
      </c>
      <c r="C31">
        <v>155</v>
      </c>
      <c r="D31" s="4" t="s">
        <v>23</v>
      </c>
      <c r="E31" s="5">
        <v>44936</v>
      </c>
      <c r="F31">
        <v>110</v>
      </c>
      <c r="G31">
        <v>4.8</v>
      </c>
      <c r="H31">
        <f>IF(MONTH(calls[[#This Row],[Date of Call]])&lt;=6, YEAR(calls[[#This Row],[Date of Call]]), YEAR(calls[[#This Row],[Date of Call]])+1)</f>
        <v>2023</v>
      </c>
      <c r="I31" t="str">
        <f>TEXT(calls[[#This Row],[Date of Call]],"DDDD")</f>
        <v>Tuesday</v>
      </c>
      <c r="J31" t="str">
        <f t="array" ref="J31">_xlfn.IFS(calls[[#This Row],[Duration]]&lt;=10,"Under 10 mins", calls[[#This Row],[Duration]]&lt;=30, "10 to 30 mins", calls[[#This Row],[Duration]]&lt;=60, "30 to 60 mins", calls[[#This Row],[Duration]]&lt;=120, "1 to 2 hours", TRUE, "More than 2 hours")</f>
        <v>More than 2 hours</v>
      </c>
      <c r="K31">
        <f>ROUND(calls[[#This Row],[Satisfaction Rating]],0)</f>
        <v>5</v>
      </c>
    </row>
    <row r="32" spans="1:11" ht="13.8" x14ac:dyDescent="0.25">
      <c r="A32" t="s">
        <v>59</v>
      </c>
      <c r="B32" t="s">
        <v>43</v>
      </c>
      <c r="C32">
        <v>80</v>
      </c>
      <c r="D32" s="4" t="s">
        <v>13</v>
      </c>
      <c r="E32" s="5">
        <v>44936</v>
      </c>
      <c r="F32">
        <v>140</v>
      </c>
      <c r="G32">
        <v>4.2</v>
      </c>
      <c r="H32">
        <f>IF(MONTH(calls[[#This Row],[Date of Call]])&lt;=6, YEAR(calls[[#This Row],[Date of Call]]), YEAR(calls[[#This Row],[Date of Call]])+1)</f>
        <v>2023</v>
      </c>
      <c r="I32" t="str">
        <f>TEXT(calls[[#This Row],[Date of Call]],"DDDD")</f>
        <v>Tuesday</v>
      </c>
      <c r="J32" t="str">
        <f t="array" ref="J32">_xlfn.IFS(calls[[#This Row],[Duration]]&lt;=10,"Under 10 mins", calls[[#This Row],[Duration]]&lt;=30, "10 to 30 mins", calls[[#This Row],[Duration]]&lt;=60, "30 to 60 mins", calls[[#This Row],[Duration]]&lt;=120, "1 to 2 hours", TRUE, "More than 2 hours")</f>
        <v>1 to 2 hours</v>
      </c>
      <c r="K32">
        <f>ROUND(calls[[#This Row],[Satisfaction Rating]],0)</f>
        <v>4</v>
      </c>
    </row>
    <row r="33" spans="1:11" ht="13.8" x14ac:dyDescent="0.25">
      <c r="A33" t="s">
        <v>60</v>
      </c>
      <c r="B33" t="s">
        <v>22</v>
      </c>
      <c r="C33">
        <v>82</v>
      </c>
      <c r="D33" s="4" t="s">
        <v>13</v>
      </c>
      <c r="E33" s="5">
        <v>44938</v>
      </c>
      <c r="F33">
        <v>42</v>
      </c>
      <c r="G33">
        <v>3.7</v>
      </c>
      <c r="H33">
        <f>IF(MONTH(calls[[#This Row],[Date of Call]])&lt;=6, YEAR(calls[[#This Row],[Date of Call]]), YEAR(calls[[#This Row],[Date of Call]])+1)</f>
        <v>2023</v>
      </c>
      <c r="I33" t="str">
        <f>TEXT(calls[[#This Row],[Date of Call]],"DDDD")</f>
        <v>Thursday</v>
      </c>
      <c r="J33" t="str">
        <f t="array" ref="J33">_xlfn.IFS(calls[[#This Row],[Duration]]&lt;=10,"Under 10 mins", calls[[#This Row],[Duration]]&lt;=30, "10 to 30 mins", calls[[#This Row],[Duration]]&lt;=60, "30 to 60 mins", calls[[#This Row],[Duration]]&lt;=120, "1 to 2 hours", TRUE, "More than 2 hours")</f>
        <v>1 to 2 hours</v>
      </c>
      <c r="K33">
        <f>ROUND(calls[[#This Row],[Satisfaction Rating]],0)</f>
        <v>4</v>
      </c>
    </row>
    <row r="34" spans="1:11" ht="13.8" x14ac:dyDescent="0.25">
      <c r="A34" t="s">
        <v>61</v>
      </c>
      <c r="B34" t="s">
        <v>22</v>
      </c>
      <c r="C34">
        <v>29</v>
      </c>
      <c r="D34" s="4" t="s">
        <v>23</v>
      </c>
      <c r="E34" s="5">
        <v>44938</v>
      </c>
      <c r="F34">
        <v>170</v>
      </c>
      <c r="G34">
        <v>5</v>
      </c>
      <c r="H34">
        <f>IF(MONTH(calls[[#This Row],[Date of Call]])&lt;=6, YEAR(calls[[#This Row],[Date of Call]]), YEAR(calls[[#This Row],[Date of Call]])+1)</f>
        <v>2023</v>
      </c>
      <c r="I34" t="str">
        <f>TEXT(calls[[#This Row],[Date of Call]],"DDDD")</f>
        <v>Thursday</v>
      </c>
      <c r="J34" t="str">
        <f t="array" ref="J34">_xlfn.IFS(calls[[#This Row],[Duration]]&lt;=10,"Under 10 mins", calls[[#This Row],[Duration]]&lt;=30, "10 to 30 mins", calls[[#This Row],[Duration]]&lt;=60, "30 to 60 mins", calls[[#This Row],[Duration]]&lt;=120, "1 to 2 hours", TRUE, "More than 2 hours")</f>
        <v>10 to 30 mins</v>
      </c>
      <c r="K34">
        <f>ROUND(calls[[#This Row],[Satisfaction Rating]],0)</f>
        <v>5</v>
      </c>
    </row>
    <row r="35" spans="1:11" ht="13.8" x14ac:dyDescent="0.25">
      <c r="A35" t="s">
        <v>62</v>
      </c>
      <c r="B35" t="s">
        <v>46</v>
      </c>
      <c r="C35">
        <v>160</v>
      </c>
      <c r="D35" s="4" t="s">
        <v>18</v>
      </c>
      <c r="E35" s="5">
        <v>44940</v>
      </c>
      <c r="F35">
        <v>105</v>
      </c>
      <c r="G35">
        <v>5</v>
      </c>
      <c r="H35">
        <f>IF(MONTH(calls[[#This Row],[Date of Call]])&lt;=6, YEAR(calls[[#This Row],[Date of Call]]), YEAR(calls[[#This Row],[Date of Call]])+1)</f>
        <v>2023</v>
      </c>
      <c r="I35" t="str">
        <f>TEXT(calls[[#This Row],[Date of Call]],"DDDD")</f>
        <v>Saturday</v>
      </c>
      <c r="J35" t="str">
        <f t="array" ref="J35">_xlfn.IFS(calls[[#This Row],[Duration]]&lt;=10,"Under 10 mins", calls[[#This Row],[Duration]]&lt;=30, "10 to 30 mins", calls[[#This Row],[Duration]]&lt;=60, "30 to 60 mins", calls[[#This Row],[Duration]]&lt;=120, "1 to 2 hours", TRUE, "More than 2 hours")</f>
        <v>More than 2 hours</v>
      </c>
      <c r="K35">
        <f>ROUND(calls[[#This Row],[Satisfaction Rating]],0)</f>
        <v>5</v>
      </c>
    </row>
    <row r="36" spans="1:11" ht="13.8" x14ac:dyDescent="0.25">
      <c r="A36" t="s">
        <v>63</v>
      </c>
      <c r="B36" t="s">
        <v>64</v>
      </c>
      <c r="C36">
        <v>105</v>
      </c>
      <c r="D36" s="4" t="s">
        <v>13</v>
      </c>
      <c r="E36" s="5">
        <v>44941</v>
      </c>
      <c r="F36">
        <v>125</v>
      </c>
      <c r="G36">
        <v>4.8</v>
      </c>
      <c r="H36">
        <f>IF(MONTH(calls[[#This Row],[Date of Call]])&lt;=6, YEAR(calls[[#This Row],[Date of Call]]), YEAR(calls[[#This Row],[Date of Call]])+1)</f>
        <v>2023</v>
      </c>
      <c r="I36" t="str">
        <f>TEXT(calls[[#This Row],[Date of Call]],"DDDD")</f>
        <v>Sunday</v>
      </c>
      <c r="J36" t="str">
        <f t="array" ref="J36">_xlfn.IFS(calls[[#This Row],[Duration]]&lt;=10,"Under 10 mins", calls[[#This Row],[Duration]]&lt;=30, "10 to 30 mins", calls[[#This Row],[Duration]]&lt;=60, "30 to 60 mins", calls[[#This Row],[Duration]]&lt;=120, "1 to 2 hours", TRUE, "More than 2 hours")</f>
        <v>1 to 2 hours</v>
      </c>
      <c r="K36">
        <f>ROUND(calls[[#This Row],[Satisfaction Rating]],0)</f>
        <v>5</v>
      </c>
    </row>
    <row r="37" spans="1:11" ht="13.8" x14ac:dyDescent="0.25">
      <c r="A37" t="s">
        <v>65</v>
      </c>
      <c r="B37" t="s">
        <v>43</v>
      </c>
      <c r="C37">
        <v>75</v>
      </c>
      <c r="D37" s="4" t="s">
        <v>32</v>
      </c>
      <c r="E37" s="5">
        <v>44941</v>
      </c>
      <c r="F37">
        <v>26</v>
      </c>
      <c r="G37">
        <v>2.4</v>
      </c>
      <c r="H37">
        <f>IF(MONTH(calls[[#This Row],[Date of Call]])&lt;=6, YEAR(calls[[#This Row],[Date of Call]]), YEAR(calls[[#This Row],[Date of Call]])+1)</f>
        <v>2023</v>
      </c>
      <c r="I37" t="str">
        <f>TEXT(calls[[#This Row],[Date of Call]],"DDDD")</f>
        <v>Sunday</v>
      </c>
      <c r="J37" t="str">
        <f t="array" ref="J37">_xlfn.IFS(calls[[#This Row],[Duration]]&lt;=10,"Under 10 mins", calls[[#This Row],[Duration]]&lt;=30, "10 to 30 mins", calls[[#This Row],[Duration]]&lt;=60, "30 to 60 mins", calls[[#This Row],[Duration]]&lt;=120, "1 to 2 hours", TRUE, "More than 2 hours")</f>
        <v>1 to 2 hours</v>
      </c>
      <c r="K37">
        <f>ROUND(calls[[#This Row],[Satisfaction Rating]],0)</f>
        <v>2</v>
      </c>
    </row>
    <row r="38" spans="1:11" ht="13.8" x14ac:dyDescent="0.25">
      <c r="A38" t="s">
        <v>66</v>
      </c>
      <c r="B38" t="s">
        <v>51</v>
      </c>
      <c r="C38">
        <v>94</v>
      </c>
      <c r="D38" s="4" t="s">
        <v>32</v>
      </c>
      <c r="E38" s="5">
        <v>44942</v>
      </c>
      <c r="F38">
        <v>120</v>
      </c>
      <c r="G38">
        <v>3.1</v>
      </c>
      <c r="H38">
        <f>IF(MONTH(calls[[#This Row],[Date of Call]])&lt;=6, YEAR(calls[[#This Row],[Date of Call]]), YEAR(calls[[#This Row],[Date of Call]])+1)</f>
        <v>2023</v>
      </c>
      <c r="I38" t="str">
        <f>TEXT(calls[[#This Row],[Date of Call]],"DDDD")</f>
        <v>Monday</v>
      </c>
      <c r="J38" t="str">
        <f t="array" ref="J38">_xlfn.IFS(calls[[#This Row],[Duration]]&lt;=10,"Under 10 mins", calls[[#This Row],[Duration]]&lt;=30, "10 to 30 mins", calls[[#This Row],[Duration]]&lt;=60, "30 to 60 mins", calls[[#This Row],[Duration]]&lt;=120, "1 to 2 hours", TRUE, "More than 2 hours")</f>
        <v>1 to 2 hours</v>
      </c>
      <c r="K38">
        <f>ROUND(calls[[#This Row],[Satisfaction Rating]],0)</f>
        <v>3</v>
      </c>
    </row>
    <row r="39" spans="1:11" ht="13.8" x14ac:dyDescent="0.25">
      <c r="A39" t="s">
        <v>67</v>
      </c>
      <c r="B39" t="s">
        <v>15</v>
      </c>
      <c r="C39">
        <v>90</v>
      </c>
      <c r="D39" s="4" t="s">
        <v>18</v>
      </c>
      <c r="E39" s="5">
        <v>44942</v>
      </c>
      <c r="F39">
        <v>132</v>
      </c>
      <c r="G39">
        <v>3.2</v>
      </c>
      <c r="H39">
        <f>IF(MONTH(calls[[#This Row],[Date of Call]])&lt;=6, YEAR(calls[[#This Row],[Date of Call]]), YEAR(calls[[#This Row],[Date of Call]])+1)</f>
        <v>2023</v>
      </c>
      <c r="I39" t="str">
        <f>TEXT(calls[[#This Row],[Date of Call]],"DDDD")</f>
        <v>Monday</v>
      </c>
      <c r="J39" t="str">
        <f t="array" ref="J39">_xlfn.IFS(calls[[#This Row],[Duration]]&lt;=10,"Under 10 mins", calls[[#This Row],[Duration]]&lt;=30, "10 to 30 mins", calls[[#This Row],[Duration]]&lt;=60, "30 to 60 mins", calls[[#This Row],[Duration]]&lt;=120, "1 to 2 hours", TRUE, "More than 2 hours")</f>
        <v>1 to 2 hours</v>
      </c>
      <c r="K39">
        <f>ROUND(calls[[#This Row],[Satisfaction Rating]],0)</f>
        <v>3</v>
      </c>
    </row>
    <row r="40" spans="1:11" ht="13.8" x14ac:dyDescent="0.25">
      <c r="A40" t="s">
        <v>68</v>
      </c>
      <c r="B40" t="s">
        <v>51</v>
      </c>
      <c r="C40">
        <v>81</v>
      </c>
      <c r="D40" s="4" t="s">
        <v>28</v>
      </c>
      <c r="E40" s="5">
        <v>44943</v>
      </c>
      <c r="F40">
        <v>86</v>
      </c>
      <c r="G40">
        <v>2.4</v>
      </c>
      <c r="H40">
        <f>IF(MONTH(calls[[#This Row],[Date of Call]])&lt;=6, YEAR(calls[[#This Row],[Date of Call]]), YEAR(calls[[#This Row],[Date of Call]])+1)</f>
        <v>2023</v>
      </c>
      <c r="I40" t="str">
        <f>TEXT(calls[[#This Row],[Date of Call]],"DDDD")</f>
        <v>Tuesday</v>
      </c>
      <c r="J40" t="str">
        <f t="array" ref="J40">_xlfn.IFS(calls[[#This Row],[Duration]]&lt;=10,"Under 10 mins", calls[[#This Row],[Duration]]&lt;=30, "10 to 30 mins", calls[[#This Row],[Duration]]&lt;=60, "30 to 60 mins", calls[[#This Row],[Duration]]&lt;=120, "1 to 2 hours", TRUE, "More than 2 hours")</f>
        <v>1 to 2 hours</v>
      </c>
      <c r="K40">
        <f>ROUND(calls[[#This Row],[Satisfaction Rating]],0)</f>
        <v>2</v>
      </c>
    </row>
    <row r="41" spans="1:11" ht="13.8" x14ac:dyDescent="0.25">
      <c r="A41" t="s">
        <v>69</v>
      </c>
      <c r="B41" t="s">
        <v>43</v>
      </c>
      <c r="C41">
        <v>106</v>
      </c>
      <c r="D41" s="4" t="s">
        <v>13</v>
      </c>
      <c r="E41" s="5">
        <v>44943</v>
      </c>
      <c r="F41">
        <v>108</v>
      </c>
      <c r="G41">
        <v>5</v>
      </c>
      <c r="H41">
        <f>IF(MONTH(calls[[#This Row],[Date of Call]])&lt;=6, YEAR(calls[[#This Row],[Date of Call]]), YEAR(calls[[#This Row],[Date of Call]])+1)</f>
        <v>2023</v>
      </c>
      <c r="I41" t="str">
        <f>TEXT(calls[[#This Row],[Date of Call]],"DDDD")</f>
        <v>Tuesday</v>
      </c>
      <c r="J41" t="str">
        <f t="array" ref="J41">_xlfn.IFS(calls[[#This Row],[Duration]]&lt;=10,"Under 10 mins", calls[[#This Row],[Duration]]&lt;=30, "10 to 30 mins", calls[[#This Row],[Duration]]&lt;=60, "30 to 60 mins", calls[[#This Row],[Duration]]&lt;=120, "1 to 2 hours", TRUE, "More than 2 hours")</f>
        <v>1 to 2 hours</v>
      </c>
      <c r="K41">
        <f>ROUND(calls[[#This Row],[Satisfaction Rating]],0)</f>
        <v>5</v>
      </c>
    </row>
    <row r="42" spans="1:11" ht="13.8" x14ac:dyDescent="0.25">
      <c r="A42" t="s">
        <v>70</v>
      </c>
      <c r="B42" t="s">
        <v>15</v>
      </c>
      <c r="C42">
        <v>74</v>
      </c>
      <c r="D42" s="4" t="s">
        <v>28</v>
      </c>
      <c r="E42" s="5">
        <v>44943</v>
      </c>
      <c r="F42">
        <v>96</v>
      </c>
      <c r="G42">
        <v>4.7</v>
      </c>
      <c r="H42">
        <f>IF(MONTH(calls[[#This Row],[Date of Call]])&lt;=6, YEAR(calls[[#This Row],[Date of Call]]), YEAR(calls[[#This Row],[Date of Call]])+1)</f>
        <v>2023</v>
      </c>
      <c r="I42" t="str">
        <f>TEXT(calls[[#This Row],[Date of Call]],"DDDD")</f>
        <v>Tuesday</v>
      </c>
      <c r="J42" t="str">
        <f t="array" ref="J42">_xlfn.IFS(calls[[#This Row],[Duration]]&lt;=10,"Under 10 mins", calls[[#This Row],[Duration]]&lt;=30, "10 to 30 mins", calls[[#This Row],[Duration]]&lt;=60, "30 to 60 mins", calls[[#This Row],[Duration]]&lt;=120, "1 to 2 hours", TRUE, "More than 2 hours")</f>
        <v>1 to 2 hours</v>
      </c>
      <c r="K42">
        <f>ROUND(calls[[#This Row],[Satisfaction Rating]],0)</f>
        <v>5</v>
      </c>
    </row>
    <row r="43" spans="1:11" ht="13.8" x14ac:dyDescent="0.25">
      <c r="A43" t="s">
        <v>71</v>
      </c>
      <c r="B43" t="s">
        <v>31</v>
      </c>
      <c r="C43">
        <v>105</v>
      </c>
      <c r="D43" s="4" t="s">
        <v>18</v>
      </c>
      <c r="E43" s="5">
        <v>44944</v>
      </c>
      <c r="F43">
        <v>80</v>
      </c>
      <c r="G43">
        <v>4.7</v>
      </c>
      <c r="H43">
        <f>IF(MONTH(calls[[#This Row],[Date of Call]])&lt;=6, YEAR(calls[[#This Row],[Date of Call]]), YEAR(calls[[#This Row],[Date of Call]])+1)</f>
        <v>2023</v>
      </c>
      <c r="I43" t="str">
        <f>TEXT(calls[[#This Row],[Date of Call]],"DDDD")</f>
        <v>Wednesday</v>
      </c>
      <c r="J43" t="str">
        <f t="array" ref="J43">_xlfn.IFS(calls[[#This Row],[Duration]]&lt;=10,"Under 10 mins", calls[[#This Row],[Duration]]&lt;=30, "10 to 30 mins", calls[[#This Row],[Duration]]&lt;=60, "30 to 60 mins", calls[[#This Row],[Duration]]&lt;=120, "1 to 2 hours", TRUE, "More than 2 hours")</f>
        <v>1 to 2 hours</v>
      </c>
      <c r="K43">
        <f>ROUND(calls[[#This Row],[Satisfaction Rating]],0)</f>
        <v>5</v>
      </c>
    </row>
    <row r="44" spans="1:11" ht="13.8" x14ac:dyDescent="0.25">
      <c r="A44" t="s">
        <v>72</v>
      </c>
      <c r="B44" t="s">
        <v>43</v>
      </c>
      <c r="C44">
        <v>89</v>
      </c>
      <c r="D44" s="4" t="s">
        <v>13</v>
      </c>
      <c r="E44" s="5">
        <v>44944</v>
      </c>
      <c r="F44">
        <v>155</v>
      </c>
      <c r="G44">
        <v>4.0999999999999996</v>
      </c>
      <c r="H44">
        <f>IF(MONTH(calls[[#This Row],[Date of Call]])&lt;=6, YEAR(calls[[#This Row],[Date of Call]]), YEAR(calls[[#This Row],[Date of Call]])+1)</f>
        <v>2023</v>
      </c>
      <c r="I44" t="str">
        <f>TEXT(calls[[#This Row],[Date of Call]],"DDDD")</f>
        <v>Wednesday</v>
      </c>
      <c r="J44" t="str">
        <f t="array" ref="J44">_xlfn.IFS(calls[[#This Row],[Duration]]&lt;=10,"Under 10 mins", calls[[#This Row],[Duration]]&lt;=30, "10 to 30 mins", calls[[#This Row],[Duration]]&lt;=60, "30 to 60 mins", calls[[#This Row],[Duration]]&lt;=120, "1 to 2 hours", TRUE, "More than 2 hours")</f>
        <v>1 to 2 hours</v>
      </c>
      <c r="K44">
        <f>ROUND(calls[[#This Row],[Satisfaction Rating]],0)</f>
        <v>4</v>
      </c>
    </row>
    <row r="45" spans="1:11" ht="13.8" x14ac:dyDescent="0.25">
      <c r="A45" t="s">
        <v>73</v>
      </c>
      <c r="B45" t="s">
        <v>35</v>
      </c>
      <c r="C45">
        <v>132</v>
      </c>
      <c r="D45" s="4" t="s">
        <v>32</v>
      </c>
      <c r="E45" s="5">
        <v>44944</v>
      </c>
      <c r="F45">
        <v>168</v>
      </c>
      <c r="G45">
        <v>4.0999999999999996</v>
      </c>
      <c r="H45">
        <f>IF(MONTH(calls[[#This Row],[Date of Call]])&lt;=6, YEAR(calls[[#This Row],[Date of Call]]), YEAR(calls[[#This Row],[Date of Call]])+1)</f>
        <v>2023</v>
      </c>
      <c r="I45" t="str">
        <f>TEXT(calls[[#This Row],[Date of Call]],"DDDD")</f>
        <v>Wednesday</v>
      </c>
      <c r="J45" t="str">
        <f t="array" ref="J45">_xlfn.IFS(calls[[#This Row],[Duration]]&lt;=10,"Under 10 mins", calls[[#This Row],[Duration]]&lt;=30, "10 to 30 mins", calls[[#This Row],[Duration]]&lt;=60, "30 to 60 mins", calls[[#This Row],[Duration]]&lt;=120, "1 to 2 hours", TRUE, "More than 2 hours")</f>
        <v>More than 2 hours</v>
      </c>
      <c r="K45">
        <f>ROUND(calls[[#This Row],[Satisfaction Rating]],0)</f>
        <v>4</v>
      </c>
    </row>
    <row r="46" spans="1:11" ht="13.8" x14ac:dyDescent="0.25">
      <c r="A46" t="s">
        <v>74</v>
      </c>
      <c r="B46" t="s">
        <v>64</v>
      </c>
      <c r="C46">
        <v>105</v>
      </c>
      <c r="D46" s="4" t="s">
        <v>23</v>
      </c>
      <c r="E46" s="5">
        <v>44944</v>
      </c>
      <c r="F46">
        <v>56</v>
      </c>
      <c r="G46">
        <v>3.6</v>
      </c>
      <c r="H46">
        <f>IF(MONTH(calls[[#This Row],[Date of Call]])&lt;=6, YEAR(calls[[#This Row],[Date of Call]]), YEAR(calls[[#This Row],[Date of Call]])+1)</f>
        <v>2023</v>
      </c>
      <c r="I46" t="str">
        <f>TEXT(calls[[#This Row],[Date of Call]],"DDDD")</f>
        <v>Wednesday</v>
      </c>
      <c r="J46" t="str">
        <f t="array" ref="J46">_xlfn.IFS(calls[[#This Row],[Duration]]&lt;=10,"Under 10 mins", calls[[#This Row],[Duration]]&lt;=30, "10 to 30 mins", calls[[#This Row],[Duration]]&lt;=60, "30 to 60 mins", calls[[#This Row],[Duration]]&lt;=120, "1 to 2 hours", TRUE, "More than 2 hours")</f>
        <v>1 to 2 hours</v>
      </c>
      <c r="K46">
        <f>ROUND(calls[[#This Row],[Satisfaction Rating]],0)</f>
        <v>4</v>
      </c>
    </row>
    <row r="47" spans="1:11" ht="13.8" x14ac:dyDescent="0.25">
      <c r="A47" t="s">
        <v>75</v>
      </c>
      <c r="B47" t="s">
        <v>22</v>
      </c>
      <c r="C47">
        <v>13</v>
      </c>
      <c r="D47" s="4" t="s">
        <v>32</v>
      </c>
      <c r="E47" s="5">
        <v>44945</v>
      </c>
      <c r="F47">
        <v>32</v>
      </c>
      <c r="G47">
        <v>4.4000000000000004</v>
      </c>
      <c r="H47">
        <f>IF(MONTH(calls[[#This Row],[Date of Call]])&lt;=6, YEAR(calls[[#This Row],[Date of Call]]), YEAR(calls[[#This Row],[Date of Call]])+1)</f>
        <v>2023</v>
      </c>
      <c r="I47" t="str">
        <f>TEXT(calls[[#This Row],[Date of Call]],"DDDD")</f>
        <v>Thursday</v>
      </c>
      <c r="J47" t="str">
        <f t="array" ref="J47">_xlfn.IFS(calls[[#This Row],[Duration]]&lt;=10,"Under 10 mins", calls[[#This Row],[Duration]]&lt;=30, "10 to 30 mins", calls[[#This Row],[Duration]]&lt;=60, "30 to 60 mins", calls[[#This Row],[Duration]]&lt;=120, "1 to 2 hours", TRUE, "More than 2 hours")</f>
        <v>10 to 30 mins</v>
      </c>
      <c r="K47">
        <f>ROUND(calls[[#This Row],[Satisfaction Rating]],0)</f>
        <v>4</v>
      </c>
    </row>
    <row r="48" spans="1:11" ht="13.8" x14ac:dyDescent="0.25">
      <c r="A48" t="s">
        <v>76</v>
      </c>
      <c r="B48" t="s">
        <v>20</v>
      </c>
      <c r="C48">
        <v>131</v>
      </c>
      <c r="D48" s="4" t="s">
        <v>23</v>
      </c>
      <c r="E48" s="5">
        <v>44945</v>
      </c>
      <c r="F48">
        <v>78</v>
      </c>
      <c r="G48">
        <v>4.4000000000000004</v>
      </c>
      <c r="H48">
        <f>IF(MONTH(calls[[#This Row],[Date of Call]])&lt;=6, YEAR(calls[[#This Row],[Date of Call]]), YEAR(calls[[#This Row],[Date of Call]])+1)</f>
        <v>2023</v>
      </c>
      <c r="I48" t="str">
        <f>TEXT(calls[[#This Row],[Date of Call]],"DDDD")</f>
        <v>Thursday</v>
      </c>
      <c r="J48" t="str">
        <f t="array" ref="J48">_xlfn.IFS(calls[[#This Row],[Duration]]&lt;=10,"Under 10 mins", calls[[#This Row],[Duration]]&lt;=30, "10 to 30 mins", calls[[#This Row],[Duration]]&lt;=60, "30 to 60 mins", calls[[#This Row],[Duration]]&lt;=120, "1 to 2 hours", TRUE, "More than 2 hours")</f>
        <v>More than 2 hours</v>
      </c>
      <c r="K48">
        <f>ROUND(calls[[#This Row],[Satisfaction Rating]],0)</f>
        <v>4</v>
      </c>
    </row>
    <row r="49" spans="1:11" ht="13.8" x14ac:dyDescent="0.25">
      <c r="A49" t="s">
        <v>77</v>
      </c>
      <c r="B49" t="s">
        <v>15</v>
      </c>
      <c r="C49">
        <v>104</v>
      </c>
      <c r="D49" s="4" t="s">
        <v>13</v>
      </c>
      <c r="E49" s="5">
        <v>44945</v>
      </c>
      <c r="F49">
        <v>86</v>
      </c>
      <c r="G49">
        <v>4</v>
      </c>
      <c r="H49">
        <f>IF(MONTH(calls[[#This Row],[Date of Call]])&lt;=6, YEAR(calls[[#This Row],[Date of Call]]), YEAR(calls[[#This Row],[Date of Call]])+1)</f>
        <v>2023</v>
      </c>
      <c r="I49" t="str">
        <f>TEXT(calls[[#This Row],[Date of Call]],"DDDD")</f>
        <v>Thursday</v>
      </c>
      <c r="J49" t="str">
        <f t="array" ref="J49">_xlfn.IFS(calls[[#This Row],[Duration]]&lt;=10,"Under 10 mins", calls[[#This Row],[Duration]]&lt;=30, "10 to 30 mins", calls[[#This Row],[Duration]]&lt;=60, "30 to 60 mins", calls[[#This Row],[Duration]]&lt;=120, "1 to 2 hours", TRUE, "More than 2 hours")</f>
        <v>1 to 2 hours</v>
      </c>
      <c r="K49">
        <f>ROUND(calls[[#This Row],[Satisfaction Rating]],0)</f>
        <v>4</v>
      </c>
    </row>
    <row r="50" spans="1:11" ht="13.8" x14ac:dyDescent="0.25">
      <c r="A50" t="s">
        <v>78</v>
      </c>
      <c r="B50" t="s">
        <v>12</v>
      </c>
      <c r="C50">
        <v>90</v>
      </c>
      <c r="D50" s="4" t="s">
        <v>18</v>
      </c>
      <c r="E50" s="5">
        <v>44946</v>
      </c>
      <c r="F50">
        <v>64</v>
      </c>
      <c r="G50">
        <v>3.8</v>
      </c>
      <c r="H50">
        <f>IF(MONTH(calls[[#This Row],[Date of Call]])&lt;=6, YEAR(calls[[#This Row],[Date of Call]]), YEAR(calls[[#This Row],[Date of Call]])+1)</f>
        <v>2023</v>
      </c>
      <c r="I50" t="str">
        <f>TEXT(calls[[#This Row],[Date of Call]],"DDDD")</f>
        <v>Friday</v>
      </c>
      <c r="J50" t="str">
        <f t="array" ref="J50">_xlfn.IFS(calls[[#This Row],[Duration]]&lt;=10,"Under 10 mins", calls[[#This Row],[Duration]]&lt;=30, "10 to 30 mins", calls[[#This Row],[Duration]]&lt;=60, "30 to 60 mins", calls[[#This Row],[Duration]]&lt;=120, "1 to 2 hours", TRUE, "More than 2 hours")</f>
        <v>1 to 2 hours</v>
      </c>
      <c r="K50">
        <f>ROUND(calls[[#This Row],[Satisfaction Rating]],0)</f>
        <v>4</v>
      </c>
    </row>
    <row r="51" spans="1:11" ht="13.8" x14ac:dyDescent="0.25">
      <c r="A51" t="s">
        <v>79</v>
      </c>
      <c r="B51" t="s">
        <v>54</v>
      </c>
      <c r="C51">
        <v>37</v>
      </c>
      <c r="D51" s="4" t="s">
        <v>18</v>
      </c>
      <c r="E51" s="5">
        <v>44946</v>
      </c>
      <c r="F51">
        <v>96</v>
      </c>
      <c r="G51">
        <v>3.6</v>
      </c>
      <c r="H51">
        <f>IF(MONTH(calls[[#This Row],[Date of Call]])&lt;=6, YEAR(calls[[#This Row],[Date of Call]]), YEAR(calls[[#This Row],[Date of Call]])+1)</f>
        <v>2023</v>
      </c>
      <c r="I51" t="str">
        <f>TEXT(calls[[#This Row],[Date of Call]],"DDDD")</f>
        <v>Friday</v>
      </c>
      <c r="J51" t="str">
        <f t="array" ref="J51">_xlfn.IFS(calls[[#This Row],[Duration]]&lt;=10,"Under 10 mins", calls[[#This Row],[Duration]]&lt;=30, "10 to 30 mins", calls[[#This Row],[Duration]]&lt;=60, "30 to 60 mins", calls[[#This Row],[Duration]]&lt;=120, "1 to 2 hours", TRUE, "More than 2 hours")</f>
        <v>30 to 60 mins</v>
      </c>
      <c r="K51">
        <f>ROUND(calls[[#This Row],[Satisfaction Rating]],0)</f>
        <v>4</v>
      </c>
    </row>
    <row r="52" spans="1:11" ht="13.8" x14ac:dyDescent="0.25">
      <c r="A52" t="s">
        <v>80</v>
      </c>
      <c r="B52" t="s">
        <v>37</v>
      </c>
      <c r="C52">
        <v>149</v>
      </c>
      <c r="D52" s="4" t="s">
        <v>23</v>
      </c>
      <c r="E52" s="5">
        <v>44946</v>
      </c>
      <c r="F52">
        <v>72</v>
      </c>
      <c r="G52">
        <v>4.3</v>
      </c>
      <c r="H52">
        <f>IF(MONTH(calls[[#This Row],[Date of Call]])&lt;=6, YEAR(calls[[#This Row],[Date of Call]]), YEAR(calls[[#This Row],[Date of Call]])+1)</f>
        <v>2023</v>
      </c>
      <c r="I52" t="str">
        <f>TEXT(calls[[#This Row],[Date of Call]],"DDDD")</f>
        <v>Friday</v>
      </c>
      <c r="J52" t="str">
        <f t="array" ref="J52">_xlfn.IFS(calls[[#This Row],[Duration]]&lt;=10,"Under 10 mins", calls[[#This Row],[Duration]]&lt;=30, "10 to 30 mins", calls[[#This Row],[Duration]]&lt;=60, "30 to 60 mins", calls[[#This Row],[Duration]]&lt;=120, "1 to 2 hours", TRUE, "More than 2 hours")</f>
        <v>More than 2 hours</v>
      </c>
      <c r="K52">
        <f>ROUND(calls[[#This Row],[Satisfaction Rating]],0)</f>
        <v>4</v>
      </c>
    </row>
    <row r="53" spans="1:11" ht="13.8" x14ac:dyDescent="0.25">
      <c r="A53" t="s">
        <v>81</v>
      </c>
      <c r="B53" t="s">
        <v>35</v>
      </c>
      <c r="C53">
        <v>100</v>
      </c>
      <c r="D53" s="4" t="s">
        <v>28</v>
      </c>
      <c r="E53" s="5">
        <v>44947</v>
      </c>
      <c r="F53">
        <v>135</v>
      </c>
      <c r="G53">
        <v>3.8</v>
      </c>
      <c r="H53">
        <f>IF(MONTH(calls[[#This Row],[Date of Call]])&lt;=6, YEAR(calls[[#This Row],[Date of Call]]), YEAR(calls[[#This Row],[Date of Call]])+1)</f>
        <v>2023</v>
      </c>
      <c r="I53" t="str">
        <f>TEXT(calls[[#This Row],[Date of Call]],"DDDD")</f>
        <v>Saturday</v>
      </c>
      <c r="J53" t="str">
        <f t="array" ref="J53">_xlfn.IFS(calls[[#This Row],[Duration]]&lt;=10,"Under 10 mins", calls[[#This Row],[Duration]]&lt;=30, "10 to 30 mins", calls[[#This Row],[Duration]]&lt;=60, "30 to 60 mins", calls[[#This Row],[Duration]]&lt;=120, "1 to 2 hours", TRUE, "More than 2 hours")</f>
        <v>1 to 2 hours</v>
      </c>
      <c r="K53">
        <f>ROUND(calls[[#This Row],[Satisfaction Rating]],0)</f>
        <v>4</v>
      </c>
    </row>
    <row r="54" spans="1:11" ht="13.8" x14ac:dyDescent="0.25">
      <c r="A54" t="s">
        <v>82</v>
      </c>
      <c r="B54" t="s">
        <v>35</v>
      </c>
      <c r="C54">
        <v>79</v>
      </c>
      <c r="D54" s="4" t="s">
        <v>32</v>
      </c>
      <c r="E54" s="5">
        <v>44947</v>
      </c>
      <c r="F54">
        <v>140</v>
      </c>
      <c r="G54">
        <v>4.5</v>
      </c>
      <c r="H54">
        <f>IF(MONTH(calls[[#This Row],[Date of Call]])&lt;=6, YEAR(calls[[#This Row],[Date of Call]]), YEAR(calls[[#This Row],[Date of Call]])+1)</f>
        <v>2023</v>
      </c>
      <c r="I54" t="str">
        <f>TEXT(calls[[#This Row],[Date of Call]],"DDDD")</f>
        <v>Saturday</v>
      </c>
      <c r="J54" t="str">
        <f t="array" ref="J54">_xlfn.IFS(calls[[#This Row],[Duration]]&lt;=10,"Under 10 mins", calls[[#This Row],[Duration]]&lt;=30, "10 to 30 mins", calls[[#This Row],[Duration]]&lt;=60, "30 to 60 mins", calls[[#This Row],[Duration]]&lt;=120, "1 to 2 hours", TRUE, "More than 2 hours")</f>
        <v>1 to 2 hours</v>
      </c>
      <c r="K54">
        <f>ROUND(calls[[#This Row],[Satisfaction Rating]],0)</f>
        <v>5</v>
      </c>
    </row>
    <row r="55" spans="1:11" ht="13.8" x14ac:dyDescent="0.25">
      <c r="A55" t="s">
        <v>83</v>
      </c>
      <c r="B55" t="s">
        <v>84</v>
      </c>
      <c r="C55">
        <v>157</v>
      </c>
      <c r="D55" s="4" t="s">
        <v>23</v>
      </c>
      <c r="E55" s="5">
        <v>44947</v>
      </c>
      <c r="F55">
        <v>69</v>
      </c>
      <c r="G55">
        <v>4.5</v>
      </c>
      <c r="H55">
        <f>IF(MONTH(calls[[#This Row],[Date of Call]])&lt;=6, YEAR(calls[[#This Row],[Date of Call]]), YEAR(calls[[#This Row],[Date of Call]])+1)</f>
        <v>2023</v>
      </c>
      <c r="I55" t="str">
        <f>TEXT(calls[[#This Row],[Date of Call]],"DDDD")</f>
        <v>Saturday</v>
      </c>
      <c r="J55" t="str">
        <f t="array" ref="J55">_xlfn.IFS(calls[[#This Row],[Duration]]&lt;=10,"Under 10 mins", calls[[#This Row],[Duration]]&lt;=30, "10 to 30 mins", calls[[#This Row],[Duration]]&lt;=60, "30 to 60 mins", calls[[#This Row],[Duration]]&lt;=120, "1 to 2 hours", TRUE, "More than 2 hours")</f>
        <v>More than 2 hours</v>
      </c>
      <c r="K55">
        <f>ROUND(calls[[#This Row],[Satisfaction Rating]],0)</f>
        <v>5</v>
      </c>
    </row>
    <row r="56" spans="1:11" ht="13.8" x14ac:dyDescent="0.25">
      <c r="A56" t="s">
        <v>85</v>
      </c>
      <c r="B56" t="s">
        <v>35</v>
      </c>
      <c r="C56">
        <v>59</v>
      </c>
      <c r="D56" s="4" t="s">
        <v>13</v>
      </c>
      <c r="E56" s="5">
        <v>44948</v>
      </c>
      <c r="F56">
        <v>136</v>
      </c>
      <c r="G56">
        <v>4.5999999999999996</v>
      </c>
      <c r="H56">
        <f>IF(MONTH(calls[[#This Row],[Date of Call]])&lt;=6, YEAR(calls[[#This Row],[Date of Call]]), YEAR(calls[[#This Row],[Date of Call]])+1)</f>
        <v>2023</v>
      </c>
      <c r="I56" t="str">
        <f>TEXT(calls[[#This Row],[Date of Call]],"DDDD")</f>
        <v>Sunday</v>
      </c>
      <c r="J56" t="str">
        <f t="array" ref="J56">_xlfn.IFS(calls[[#This Row],[Duration]]&lt;=10,"Under 10 mins", calls[[#This Row],[Duration]]&lt;=30, "10 to 30 mins", calls[[#This Row],[Duration]]&lt;=60, "30 to 60 mins", calls[[#This Row],[Duration]]&lt;=120, "1 to 2 hours", TRUE, "More than 2 hours")</f>
        <v>30 to 60 mins</v>
      </c>
      <c r="K56">
        <f>ROUND(calls[[#This Row],[Satisfaction Rating]],0)</f>
        <v>5</v>
      </c>
    </row>
    <row r="57" spans="1:11" ht="13.8" x14ac:dyDescent="0.25">
      <c r="A57" t="s">
        <v>86</v>
      </c>
      <c r="B57" t="s">
        <v>54</v>
      </c>
      <c r="C57">
        <v>83</v>
      </c>
      <c r="D57" s="4" t="s">
        <v>23</v>
      </c>
      <c r="E57" s="5">
        <v>44948</v>
      </c>
      <c r="F57">
        <v>28</v>
      </c>
      <c r="G57">
        <v>4.5</v>
      </c>
      <c r="H57">
        <f>IF(MONTH(calls[[#This Row],[Date of Call]])&lt;=6, YEAR(calls[[#This Row],[Date of Call]]), YEAR(calls[[#This Row],[Date of Call]])+1)</f>
        <v>2023</v>
      </c>
      <c r="I57" t="str">
        <f>TEXT(calls[[#This Row],[Date of Call]],"DDDD")</f>
        <v>Sunday</v>
      </c>
      <c r="J57" t="str">
        <f t="array" ref="J57">_xlfn.IFS(calls[[#This Row],[Duration]]&lt;=10,"Under 10 mins", calls[[#This Row],[Duration]]&lt;=30, "10 to 30 mins", calls[[#This Row],[Duration]]&lt;=60, "30 to 60 mins", calls[[#This Row],[Duration]]&lt;=120, "1 to 2 hours", TRUE, "More than 2 hours")</f>
        <v>1 to 2 hours</v>
      </c>
      <c r="K57">
        <f>ROUND(calls[[#This Row],[Satisfaction Rating]],0)</f>
        <v>5</v>
      </c>
    </row>
    <row r="58" spans="1:11" ht="13.8" x14ac:dyDescent="0.25">
      <c r="A58" t="s">
        <v>87</v>
      </c>
      <c r="B58" t="s">
        <v>84</v>
      </c>
      <c r="C58">
        <v>58</v>
      </c>
      <c r="D58" s="4" t="s">
        <v>18</v>
      </c>
      <c r="E58" s="5">
        <v>44949</v>
      </c>
      <c r="F58">
        <v>135</v>
      </c>
      <c r="G58">
        <v>3.3</v>
      </c>
      <c r="H58">
        <f>IF(MONTH(calls[[#This Row],[Date of Call]])&lt;=6, YEAR(calls[[#This Row],[Date of Call]]), YEAR(calls[[#This Row],[Date of Call]])+1)</f>
        <v>2023</v>
      </c>
      <c r="I58" t="str">
        <f>TEXT(calls[[#This Row],[Date of Call]],"DDDD")</f>
        <v>Monday</v>
      </c>
      <c r="J58" t="str">
        <f t="array" ref="J58">_xlfn.IFS(calls[[#This Row],[Duration]]&lt;=10,"Under 10 mins", calls[[#This Row],[Duration]]&lt;=30, "10 to 30 mins", calls[[#This Row],[Duration]]&lt;=60, "30 to 60 mins", calls[[#This Row],[Duration]]&lt;=120, "1 to 2 hours", TRUE, "More than 2 hours")</f>
        <v>30 to 60 mins</v>
      </c>
      <c r="K58">
        <f>ROUND(calls[[#This Row],[Satisfaction Rating]],0)</f>
        <v>3</v>
      </c>
    </row>
    <row r="59" spans="1:11" ht="13.8" x14ac:dyDescent="0.25">
      <c r="A59" t="s">
        <v>88</v>
      </c>
      <c r="B59" t="s">
        <v>51</v>
      </c>
      <c r="C59">
        <v>118</v>
      </c>
      <c r="D59" s="4" t="s">
        <v>18</v>
      </c>
      <c r="E59" s="5">
        <v>44949</v>
      </c>
      <c r="F59">
        <v>126</v>
      </c>
      <c r="G59">
        <v>2.2999999999999998</v>
      </c>
      <c r="H59">
        <f>IF(MONTH(calls[[#This Row],[Date of Call]])&lt;=6, YEAR(calls[[#This Row],[Date of Call]]), YEAR(calls[[#This Row],[Date of Call]])+1)</f>
        <v>2023</v>
      </c>
      <c r="I59" t="str">
        <f>TEXT(calls[[#This Row],[Date of Call]],"DDDD")</f>
        <v>Monday</v>
      </c>
      <c r="J59" t="str">
        <f t="array" ref="J59">_xlfn.IFS(calls[[#This Row],[Duration]]&lt;=10,"Under 10 mins", calls[[#This Row],[Duration]]&lt;=30, "10 to 30 mins", calls[[#This Row],[Duration]]&lt;=60, "30 to 60 mins", calls[[#This Row],[Duration]]&lt;=120, "1 to 2 hours", TRUE, "More than 2 hours")</f>
        <v>1 to 2 hours</v>
      </c>
      <c r="K59">
        <f>ROUND(calls[[#This Row],[Satisfaction Rating]],0)</f>
        <v>2</v>
      </c>
    </row>
    <row r="60" spans="1:11" ht="13.8" x14ac:dyDescent="0.25">
      <c r="A60" t="s">
        <v>89</v>
      </c>
      <c r="B60" t="s">
        <v>22</v>
      </c>
      <c r="C60">
        <v>63</v>
      </c>
      <c r="D60" s="4" t="s">
        <v>13</v>
      </c>
      <c r="E60" s="5">
        <v>44949</v>
      </c>
      <c r="F60">
        <v>160</v>
      </c>
      <c r="G60">
        <v>4.3</v>
      </c>
      <c r="H60">
        <f>IF(MONTH(calls[[#This Row],[Date of Call]])&lt;=6, YEAR(calls[[#This Row],[Date of Call]]), YEAR(calls[[#This Row],[Date of Call]])+1)</f>
        <v>2023</v>
      </c>
      <c r="I60" t="str">
        <f>TEXT(calls[[#This Row],[Date of Call]],"DDDD")</f>
        <v>Monday</v>
      </c>
      <c r="J60" t="str">
        <f t="array" ref="J60">_xlfn.IFS(calls[[#This Row],[Duration]]&lt;=10,"Under 10 mins", calls[[#This Row],[Duration]]&lt;=30, "10 to 30 mins", calls[[#This Row],[Duration]]&lt;=60, "30 to 60 mins", calls[[#This Row],[Duration]]&lt;=120, "1 to 2 hours", TRUE, "More than 2 hours")</f>
        <v>1 to 2 hours</v>
      </c>
      <c r="K60">
        <f>ROUND(calls[[#This Row],[Satisfaction Rating]],0)</f>
        <v>4</v>
      </c>
    </row>
    <row r="61" spans="1:11" ht="13.8" x14ac:dyDescent="0.25">
      <c r="A61" t="s">
        <v>90</v>
      </c>
      <c r="B61" t="s">
        <v>84</v>
      </c>
      <c r="C61">
        <v>95</v>
      </c>
      <c r="D61" s="4" t="s">
        <v>18</v>
      </c>
      <c r="E61" s="5">
        <v>44950</v>
      </c>
      <c r="F61">
        <v>48</v>
      </c>
      <c r="G61">
        <v>4.5999999999999996</v>
      </c>
      <c r="H61">
        <f>IF(MONTH(calls[[#This Row],[Date of Call]])&lt;=6, YEAR(calls[[#This Row],[Date of Call]]), YEAR(calls[[#This Row],[Date of Call]])+1)</f>
        <v>2023</v>
      </c>
      <c r="I61" t="str">
        <f>TEXT(calls[[#This Row],[Date of Call]],"DDDD")</f>
        <v>Tuesday</v>
      </c>
      <c r="J61" t="str">
        <f t="array" ref="J61">_xlfn.IFS(calls[[#This Row],[Duration]]&lt;=10,"Under 10 mins", calls[[#This Row],[Duration]]&lt;=30, "10 to 30 mins", calls[[#This Row],[Duration]]&lt;=60, "30 to 60 mins", calls[[#This Row],[Duration]]&lt;=120, "1 to 2 hours", TRUE, "More than 2 hours")</f>
        <v>1 to 2 hours</v>
      </c>
      <c r="K61">
        <f>ROUND(calls[[#This Row],[Satisfaction Rating]],0)</f>
        <v>5</v>
      </c>
    </row>
    <row r="62" spans="1:11" ht="13.8" x14ac:dyDescent="0.25">
      <c r="A62" t="s">
        <v>91</v>
      </c>
      <c r="B62" t="s">
        <v>35</v>
      </c>
      <c r="C62">
        <v>74</v>
      </c>
      <c r="D62" s="4" t="s">
        <v>23</v>
      </c>
      <c r="E62" s="5">
        <v>44950</v>
      </c>
      <c r="F62">
        <v>66</v>
      </c>
      <c r="G62">
        <v>4</v>
      </c>
      <c r="H62">
        <f>IF(MONTH(calls[[#This Row],[Date of Call]])&lt;=6, YEAR(calls[[#This Row],[Date of Call]]), YEAR(calls[[#This Row],[Date of Call]])+1)</f>
        <v>2023</v>
      </c>
      <c r="I62" t="str">
        <f>TEXT(calls[[#This Row],[Date of Call]],"DDDD")</f>
        <v>Tuesday</v>
      </c>
      <c r="J62" t="str">
        <f t="array" ref="J62">_xlfn.IFS(calls[[#This Row],[Duration]]&lt;=10,"Under 10 mins", calls[[#This Row],[Duration]]&lt;=30, "10 to 30 mins", calls[[#This Row],[Duration]]&lt;=60, "30 to 60 mins", calls[[#This Row],[Duration]]&lt;=120, "1 to 2 hours", TRUE, "More than 2 hours")</f>
        <v>1 to 2 hours</v>
      </c>
      <c r="K62">
        <f>ROUND(calls[[#This Row],[Satisfaction Rating]],0)</f>
        <v>4</v>
      </c>
    </row>
    <row r="63" spans="1:11" ht="13.8" x14ac:dyDescent="0.25">
      <c r="A63" t="s">
        <v>92</v>
      </c>
      <c r="B63" t="s">
        <v>31</v>
      </c>
      <c r="C63">
        <v>130</v>
      </c>
      <c r="D63" s="4" t="s">
        <v>28</v>
      </c>
      <c r="E63" s="5">
        <v>44950</v>
      </c>
      <c r="F63">
        <v>126</v>
      </c>
      <c r="G63">
        <v>2.5</v>
      </c>
      <c r="H63">
        <f>IF(MONTH(calls[[#This Row],[Date of Call]])&lt;=6, YEAR(calls[[#This Row],[Date of Call]]), YEAR(calls[[#This Row],[Date of Call]])+1)</f>
        <v>2023</v>
      </c>
      <c r="I63" t="str">
        <f>TEXT(calls[[#This Row],[Date of Call]],"DDDD")</f>
        <v>Tuesday</v>
      </c>
      <c r="J63" t="str">
        <f t="array" ref="J63">_xlfn.IFS(calls[[#This Row],[Duration]]&lt;=10,"Under 10 mins", calls[[#This Row],[Duration]]&lt;=30, "10 to 30 mins", calls[[#This Row],[Duration]]&lt;=60, "30 to 60 mins", calls[[#This Row],[Duration]]&lt;=120, "1 to 2 hours", TRUE, "More than 2 hours")</f>
        <v>More than 2 hours</v>
      </c>
      <c r="K63">
        <f>ROUND(calls[[#This Row],[Satisfaction Rating]],0)</f>
        <v>3</v>
      </c>
    </row>
    <row r="64" spans="1:11" ht="13.8" x14ac:dyDescent="0.25">
      <c r="A64" t="s">
        <v>93</v>
      </c>
      <c r="B64" t="s">
        <v>51</v>
      </c>
      <c r="C64">
        <v>110</v>
      </c>
      <c r="D64" s="4" t="s">
        <v>32</v>
      </c>
      <c r="E64" s="5">
        <v>44950</v>
      </c>
      <c r="F64">
        <v>96</v>
      </c>
      <c r="G64">
        <v>5</v>
      </c>
      <c r="H64">
        <f>IF(MONTH(calls[[#This Row],[Date of Call]])&lt;=6, YEAR(calls[[#This Row],[Date of Call]]), YEAR(calls[[#This Row],[Date of Call]])+1)</f>
        <v>2023</v>
      </c>
      <c r="I64" t="str">
        <f>TEXT(calls[[#This Row],[Date of Call]],"DDDD")</f>
        <v>Tuesday</v>
      </c>
      <c r="J64" t="str">
        <f t="array" ref="J64">_xlfn.IFS(calls[[#This Row],[Duration]]&lt;=10,"Under 10 mins", calls[[#This Row],[Duration]]&lt;=30, "10 to 30 mins", calls[[#This Row],[Duration]]&lt;=60, "30 to 60 mins", calls[[#This Row],[Duration]]&lt;=120, "1 to 2 hours", TRUE, "More than 2 hours")</f>
        <v>1 to 2 hours</v>
      </c>
      <c r="K64">
        <f>ROUND(calls[[#This Row],[Satisfaction Rating]],0)</f>
        <v>5</v>
      </c>
    </row>
    <row r="65" spans="1:11" ht="13.8" x14ac:dyDescent="0.25">
      <c r="A65" t="s">
        <v>94</v>
      </c>
      <c r="B65" t="s">
        <v>35</v>
      </c>
      <c r="C65">
        <v>71</v>
      </c>
      <c r="D65" s="4" t="s">
        <v>13</v>
      </c>
      <c r="E65" s="5">
        <v>44951</v>
      </c>
      <c r="F65">
        <v>90</v>
      </c>
      <c r="G65">
        <v>3.8</v>
      </c>
      <c r="H65">
        <f>IF(MONTH(calls[[#This Row],[Date of Call]])&lt;=6, YEAR(calls[[#This Row],[Date of Call]]), YEAR(calls[[#This Row],[Date of Call]])+1)</f>
        <v>2023</v>
      </c>
      <c r="I65" t="str">
        <f>TEXT(calls[[#This Row],[Date of Call]],"DDDD")</f>
        <v>Wednesday</v>
      </c>
      <c r="J65" t="str">
        <f t="array" ref="J65">_xlfn.IFS(calls[[#This Row],[Duration]]&lt;=10,"Under 10 mins", calls[[#This Row],[Duration]]&lt;=30, "10 to 30 mins", calls[[#This Row],[Duration]]&lt;=60, "30 to 60 mins", calls[[#This Row],[Duration]]&lt;=120, "1 to 2 hours", TRUE, "More than 2 hours")</f>
        <v>1 to 2 hours</v>
      </c>
      <c r="K65">
        <f>ROUND(calls[[#This Row],[Satisfaction Rating]],0)</f>
        <v>4</v>
      </c>
    </row>
    <row r="66" spans="1:11" ht="13.8" x14ac:dyDescent="0.25">
      <c r="A66" t="s">
        <v>95</v>
      </c>
      <c r="B66" t="s">
        <v>64</v>
      </c>
      <c r="C66">
        <v>147</v>
      </c>
      <c r="D66" s="4" t="s">
        <v>28</v>
      </c>
      <c r="E66" s="5">
        <v>44951</v>
      </c>
      <c r="F66">
        <v>105</v>
      </c>
      <c r="G66">
        <v>4.4000000000000004</v>
      </c>
      <c r="H66">
        <f>IF(MONTH(calls[[#This Row],[Date of Call]])&lt;=6, YEAR(calls[[#This Row],[Date of Call]]), YEAR(calls[[#This Row],[Date of Call]])+1)</f>
        <v>2023</v>
      </c>
      <c r="I66" t="str">
        <f>TEXT(calls[[#This Row],[Date of Call]],"DDDD")</f>
        <v>Wednesday</v>
      </c>
      <c r="J66" t="str">
        <f t="array" ref="J66">_xlfn.IFS(calls[[#This Row],[Duration]]&lt;=10,"Under 10 mins", calls[[#This Row],[Duration]]&lt;=30, "10 to 30 mins", calls[[#This Row],[Duration]]&lt;=60, "30 to 60 mins", calls[[#This Row],[Duration]]&lt;=120, "1 to 2 hours", TRUE, "More than 2 hours")</f>
        <v>More than 2 hours</v>
      </c>
      <c r="K66">
        <f>ROUND(calls[[#This Row],[Satisfaction Rating]],0)</f>
        <v>4</v>
      </c>
    </row>
    <row r="67" spans="1:11" ht="13.8" x14ac:dyDescent="0.25">
      <c r="A67" t="s">
        <v>96</v>
      </c>
      <c r="B67" t="s">
        <v>15</v>
      </c>
      <c r="C67">
        <v>69</v>
      </c>
      <c r="D67" s="4" t="s">
        <v>18</v>
      </c>
      <c r="E67" s="5">
        <v>44952</v>
      </c>
      <c r="F67">
        <v>40</v>
      </c>
      <c r="G67">
        <v>3.8</v>
      </c>
      <c r="H67">
        <f>IF(MONTH(calls[[#This Row],[Date of Call]])&lt;=6, YEAR(calls[[#This Row],[Date of Call]]), YEAR(calls[[#This Row],[Date of Call]])+1)</f>
        <v>2023</v>
      </c>
      <c r="I67" t="str">
        <f>TEXT(calls[[#This Row],[Date of Call]],"DDDD")</f>
        <v>Thursday</v>
      </c>
      <c r="J67" t="str">
        <f t="array" ref="J67">_xlfn.IFS(calls[[#This Row],[Duration]]&lt;=10,"Under 10 mins", calls[[#This Row],[Duration]]&lt;=30, "10 to 30 mins", calls[[#This Row],[Duration]]&lt;=60, "30 to 60 mins", calls[[#This Row],[Duration]]&lt;=120, "1 to 2 hours", TRUE, "More than 2 hours")</f>
        <v>1 to 2 hours</v>
      </c>
      <c r="K67">
        <f>ROUND(calls[[#This Row],[Satisfaction Rating]],0)</f>
        <v>4</v>
      </c>
    </row>
    <row r="68" spans="1:11" ht="13.8" x14ac:dyDescent="0.25">
      <c r="A68" t="s">
        <v>97</v>
      </c>
      <c r="B68" t="s">
        <v>51</v>
      </c>
      <c r="C68">
        <v>50</v>
      </c>
      <c r="D68" s="4" t="s">
        <v>13</v>
      </c>
      <c r="E68" s="5">
        <v>44952</v>
      </c>
      <c r="F68">
        <v>60</v>
      </c>
      <c r="G68">
        <v>2</v>
      </c>
      <c r="H68">
        <f>IF(MONTH(calls[[#This Row],[Date of Call]])&lt;=6, YEAR(calls[[#This Row],[Date of Call]]), YEAR(calls[[#This Row],[Date of Call]])+1)</f>
        <v>2023</v>
      </c>
      <c r="I68" t="str">
        <f>TEXT(calls[[#This Row],[Date of Call]],"DDDD")</f>
        <v>Thursday</v>
      </c>
      <c r="J68" t="str">
        <f t="array" ref="J68">_xlfn.IFS(calls[[#This Row],[Duration]]&lt;=10,"Under 10 mins", calls[[#This Row],[Duration]]&lt;=30, "10 to 30 mins", calls[[#This Row],[Duration]]&lt;=60, "30 to 60 mins", calls[[#This Row],[Duration]]&lt;=120, "1 to 2 hours", TRUE, "More than 2 hours")</f>
        <v>30 to 60 mins</v>
      </c>
      <c r="K68">
        <f>ROUND(calls[[#This Row],[Satisfaction Rating]],0)</f>
        <v>2</v>
      </c>
    </row>
    <row r="69" spans="1:11" ht="13.8" x14ac:dyDescent="0.25">
      <c r="A69" t="s">
        <v>98</v>
      </c>
      <c r="B69" t="s">
        <v>31</v>
      </c>
      <c r="C69">
        <v>124</v>
      </c>
      <c r="D69" s="4" t="s">
        <v>28</v>
      </c>
      <c r="E69" s="5">
        <v>44953</v>
      </c>
      <c r="F69">
        <v>215</v>
      </c>
      <c r="G69">
        <v>4.0999999999999996</v>
      </c>
      <c r="H69">
        <f>IF(MONTH(calls[[#This Row],[Date of Call]])&lt;=6, YEAR(calls[[#This Row],[Date of Call]]), YEAR(calls[[#This Row],[Date of Call]])+1)</f>
        <v>2023</v>
      </c>
      <c r="I69" t="str">
        <f>TEXT(calls[[#This Row],[Date of Call]],"DDDD")</f>
        <v>Friday</v>
      </c>
      <c r="J69" t="str">
        <f t="array" ref="J69">_xlfn.IFS(calls[[#This Row],[Duration]]&lt;=10,"Under 10 mins", calls[[#This Row],[Duration]]&lt;=30, "10 to 30 mins", calls[[#This Row],[Duration]]&lt;=60, "30 to 60 mins", calls[[#This Row],[Duration]]&lt;=120, "1 to 2 hours", TRUE, "More than 2 hours")</f>
        <v>More than 2 hours</v>
      </c>
      <c r="K69">
        <f>ROUND(calls[[#This Row],[Satisfaction Rating]],0)</f>
        <v>4</v>
      </c>
    </row>
    <row r="70" spans="1:11" ht="13.8" x14ac:dyDescent="0.25">
      <c r="A70" t="s">
        <v>99</v>
      </c>
      <c r="B70" t="s">
        <v>17</v>
      </c>
      <c r="C70">
        <v>81</v>
      </c>
      <c r="D70" s="4" t="s">
        <v>23</v>
      </c>
      <c r="E70" s="5">
        <v>44953</v>
      </c>
      <c r="F70">
        <v>156</v>
      </c>
      <c r="G70">
        <v>2.6</v>
      </c>
      <c r="H70">
        <f>IF(MONTH(calls[[#This Row],[Date of Call]])&lt;=6, YEAR(calls[[#This Row],[Date of Call]]), YEAR(calls[[#This Row],[Date of Call]])+1)</f>
        <v>2023</v>
      </c>
      <c r="I70" t="str">
        <f>TEXT(calls[[#This Row],[Date of Call]],"DDDD")</f>
        <v>Friday</v>
      </c>
      <c r="J70" t="str">
        <f t="array" ref="J70">_xlfn.IFS(calls[[#This Row],[Duration]]&lt;=10,"Under 10 mins", calls[[#This Row],[Duration]]&lt;=30, "10 to 30 mins", calls[[#This Row],[Duration]]&lt;=60, "30 to 60 mins", calls[[#This Row],[Duration]]&lt;=120, "1 to 2 hours", TRUE, "More than 2 hours")</f>
        <v>1 to 2 hours</v>
      </c>
      <c r="K70">
        <f>ROUND(calls[[#This Row],[Satisfaction Rating]],0)</f>
        <v>3</v>
      </c>
    </row>
    <row r="71" spans="1:11" ht="13.8" x14ac:dyDescent="0.25">
      <c r="A71" t="s">
        <v>100</v>
      </c>
      <c r="B71" t="s">
        <v>46</v>
      </c>
      <c r="C71">
        <v>141</v>
      </c>
      <c r="D71" s="4" t="s">
        <v>32</v>
      </c>
      <c r="E71" s="5">
        <v>44953</v>
      </c>
      <c r="F71">
        <v>54</v>
      </c>
      <c r="G71">
        <v>0</v>
      </c>
      <c r="H71">
        <f>IF(MONTH(calls[[#This Row],[Date of Call]])&lt;=6, YEAR(calls[[#This Row],[Date of Call]]), YEAR(calls[[#This Row],[Date of Call]])+1)</f>
        <v>2023</v>
      </c>
      <c r="I71" t="str">
        <f>TEXT(calls[[#This Row],[Date of Call]],"DDDD")</f>
        <v>Friday</v>
      </c>
      <c r="J71" t="str">
        <f t="array" ref="J71">_xlfn.IFS(calls[[#This Row],[Duration]]&lt;=10,"Under 10 mins", calls[[#This Row],[Duration]]&lt;=30, "10 to 30 mins", calls[[#This Row],[Duration]]&lt;=60, "30 to 60 mins", calls[[#This Row],[Duration]]&lt;=120, "1 to 2 hours", TRUE, "More than 2 hours")</f>
        <v>More than 2 hours</v>
      </c>
      <c r="K71">
        <f>ROUND(calls[[#This Row],[Satisfaction Rating]],0)</f>
        <v>0</v>
      </c>
    </row>
    <row r="72" spans="1:11" ht="13.8" x14ac:dyDescent="0.25">
      <c r="A72" t="s">
        <v>101</v>
      </c>
      <c r="B72" t="s">
        <v>46</v>
      </c>
      <c r="C72">
        <v>168</v>
      </c>
      <c r="D72" s="4" t="s">
        <v>32</v>
      </c>
      <c r="E72" s="5">
        <v>44954</v>
      </c>
      <c r="F72">
        <v>160</v>
      </c>
      <c r="G72">
        <v>3.9</v>
      </c>
      <c r="H72">
        <f>IF(MONTH(calls[[#This Row],[Date of Call]])&lt;=6, YEAR(calls[[#This Row],[Date of Call]]), YEAR(calls[[#This Row],[Date of Call]])+1)</f>
        <v>2023</v>
      </c>
      <c r="I72" t="str">
        <f>TEXT(calls[[#This Row],[Date of Call]],"DDDD")</f>
        <v>Saturday</v>
      </c>
      <c r="J72" t="str">
        <f t="array" ref="J72">_xlfn.IFS(calls[[#This Row],[Duration]]&lt;=10,"Under 10 mins", calls[[#This Row],[Duration]]&lt;=30, "10 to 30 mins", calls[[#This Row],[Duration]]&lt;=60, "30 to 60 mins", calls[[#This Row],[Duration]]&lt;=120, "1 to 2 hours", TRUE, "More than 2 hours")</f>
        <v>More than 2 hours</v>
      </c>
      <c r="K72">
        <f>ROUND(calls[[#This Row],[Satisfaction Rating]],0)</f>
        <v>4</v>
      </c>
    </row>
    <row r="73" spans="1:11" ht="13.8" x14ac:dyDescent="0.25">
      <c r="A73" t="s">
        <v>102</v>
      </c>
      <c r="B73" t="s">
        <v>64</v>
      </c>
      <c r="C73">
        <v>101</v>
      </c>
      <c r="D73" s="4" t="s">
        <v>23</v>
      </c>
      <c r="E73" s="5">
        <v>44954</v>
      </c>
      <c r="F73">
        <v>80</v>
      </c>
      <c r="G73">
        <v>4.8</v>
      </c>
      <c r="H73">
        <f>IF(MONTH(calls[[#This Row],[Date of Call]])&lt;=6, YEAR(calls[[#This Row],[Date of Call]]), YEAR(calls[[#This Row],[Date of Call]])+1)</f>
        <v>2023</v>
      </c>
      <c r="I73" t="str">
        <f>TEXT(calls[[#This Row],[Date of Call]],"DDDD")</f>
        <v>Saturday</v>
      </c>
      <c r="J73" t="str">
        <f t="array" ref="J73">_xlfn.IFS(calls[[#This Row],[Duration]]&lt;=10,"Under 10 mins", calls[[#This Row],[Duration]]&lt;=30, "10 to 30 mins", calls[[#This Row],[Duration]]&lt;=60, "30 to 60 mins", calls[[#This Row],[Duration]]&lt;=120, "1 to 2 hours", TRUE, "More than 2 hours")</f>
        <v>1 to 2 hours</v>
      </c>
      <c r="K73">
        <f>ROUND(calls[[#This Row],[Satisfaction Rating]],0)</f>
        <v>5</v>
      </c>
    </row>
    <row r="74" spans="1:11" ht="13.8" x14ac:dyDescent="0.25">
      <c r="A74" t="s">
        <v>103</v>
      </c>
      <c r="B74" t="s">
        <v>35</v>
      </c>
      <c r="C74">
        <v>67</v>
      </c>
      <c r="D74" s="4" t="s">
        <v>23</v>
      </c>
      <c r="E74" s="5">
        <v>44954</v>
      </c>
      <c r="F74">
        <v>168</v>
      </c>
      <c r="G74">
        <v>2.6</v>
      </c>
      <c r="H74">
        <f>IF(MONTH(calls[[#This Row],[Date of Call]])&lt;=6, YEAR(calls[[#This Row],[Date of Call]]), YEAR(calls[[#This Row],[Date of Call]])+1)</f>
        <v>2023</v>
      </c>
      <c r="I74" t="str">
        <f>TEXT(calls[[#This Row],[Date of Call]],"DDDD")</f>
        <v>Saturday</v>
      </c>
      <c r="J74" t="str">
        <f t="array" ref="J74">_xlfn.IFS(calls[[#This Row],[Duration]]&lt;=10,"Under 10 mins", calls[[#This Row],[Duration]]&lt;=30, "10 to 30 mins", calls[[#This Row],[Duration]]&lt;=60, "30 to 60 mins", calls[[#This Row],[Duration]]&lt;=120, "1 to 2 hours", TRUE, "More than 2 hours")</f>
        <v>1 to 2 hours</v>
      </c>
      <c r="K74">
        <f>ROUND(calls[[#This Row],[Satisfaction Rating]],0)</f>
        <v>3</v>
      </c>
    </row>
    <row r="75" spans="1:11" ht="13.8" x14ac:dyDescent="0.25">
      <c r="A75" t="s">
        <v>104</v>
      </c>
      <c r="B75" t="s">
        <v>84</v>
      </c>
      <c r="C75">
        <v>114</v>
      </c>
      <c r="D75" s="4" t="s">
        <v>32</v>
      </c>
      <c r="E75" s="5">
        <v>44956</v>
      </c>
      <c r="F75">
        <v>42</v>
      </c>
      <c r="G75">
        <v>2.6</v>
      </c>
      <c r="H75">
        <f>IF(MONTH(calls[[#This Row],[Date of Call]])&lt;=6, YEAR(calls[[#This Row],[Date of Call]]), YEAR(calls[[#This Row],[Date of Call]])+1)</f>
        <v>2023</v>
      </c>
      <c r="I75" t="str">
        <f>TEXT(calls[[#This Row],[Date of Call]],"DDDD")</f>
        <v>Monday</v>
      </c>
      <c r="J75" t="str">
        <f t="array" ref="J75">_xlfn.IFS(calls[[#This Row],[Duration]]&lt;=10,"Under 10 mins", calls[[#This Row],[Duration]]&lt;=30, "10 to 30 mins", calls[[#This Row],[Duration]]&lt;=60, "30 to 60 mins", calls[[#This Row],[Duration]]&lt;=120, "1 to 2 hours", TRUE, "More than 2 hours")</f>
        <v>1 to 2 hours</v>
      </c>
      <c r="K75">
        <f>ROUND(calls[[#This Row],[Satisfaction Rating]],0)</f>
        <v>3</v>
      </c>
    </row>
    <row r="76" spans="1:11" ht="13.8" x14ac:dyDescent="0.25">
      <c r="A76" t="s">
        <v>105</v>
      </c>
      <c r="B76" t="s">
        <v>17</v>
      </c>
      <c r="C76">
        <v>42</v>
      </c>
      <c r="D76" s="4" t="s">
        <v>23</v>
      </c>
      <c r="E76" s="5">
        <v>44956</v>
      </c>
      <c r="F76">
        <v>205</v>
      </c>
      <c r="G76">
        <v>3.6</v>
      </c>
      <c r="H76">
        <f>IF(MONTH(calls[[#This Row],[Date of Call]])&lt;=6, YEAR(calls[[#This Row],[Date of Call]]), YEAR(calls[[#This Row],[Date of Call]])+1)</f>
        <v>2023</v>
      </c>
      <c r="I76" t="str">
        <f>TEXT(calls[[#This Row],[Date of Call]],"DDDD")</f>
        <v>Monday</v>
      </c>
      <c r="J76" t="str">
        <f t="array" ref="J76">_xlfn.IFS(calls[[#This Row],[Duration]]&lt;=10,"Under 10 mins", calls[[#This Row],[Duration]]&lt;=30, "10 to 30 mins", calls[[#This Row],[Duration]]&lt;=60, "30 to 60 mins", calls[[#This Row],[Duration]]&lt;=120, "1 to 2 hours", TRUE, "More than 2 hours")</f>
        <v>30 to 60 mins</v>
      </c>
      <c r="K76">
        <f>ROUND(calls[[#This Row],[Satisfaction Rating]],0)</f>
        <v>4</v>
      </c>
    </row>
    <row r="77" spans="1:11" ht="13.8" x14ac:dyDescent="0.25">
      <c r="A77" t="s">
        <v>106</v>
      </c>
      <c r="B77" t="s">
        <v>22</v>
      </c>
      <c r="C77">
        <v>69</v>
      </c>
      <c r="D77" s="4" t="s">
        <v>32</v>
      </c>
      <c r="E77" s="5">
        <v>44956</v>
      </c>
      <c r="F77">
        <v>108</v>
      </c>
      <c r="G77">
        <v>3.3</v>
      </c>
      <c r="H77">
        <f>IF(MONTH(calls[[#This Row],[Date of Call]])&lt;=6, YEAR(calls[[#This Row],[Date of Call]]), YEAR(calls[[#This Row],[Date of Call]])+1)</f>
        <v>2023</v>
      </c>
      <c r="I77" t="str">
        <f>TEXT(calls[[#This Row],[Date of Call]],"DDDD")</f>
        <v>Monday</v>
      </c>
      <c r="J77" t="str">
        <f t="array" ref="J77">_xlfn.IFS(calls[[#This Row],[Duration]]&lt;=10,"Under 10 mins", calls[[#This Row],[Duration]]&lt;=30, "10 to 30 mins", calls[[#This Row],[Duration]]&lt;=60, "30 to 60 mins", calls[[#This Row],[Duration]]&lt;=120, "1 to 2 hours", TRUE, "More than 2 hours")</f>
        <v>1 to 2 hours</v>
      </c>
      <c r="K77">
        <f>ROUND(calls[[#This Row],[Satisfaction Rating]],0)</f>
        <v>3</v>
      </c>
    </row>
    <row r="78" spans="1:11" ht="13.8" x14ac:dyDescent="0.25">
      <c r="A78" t="s">
        <v>107</v>
      </c>
      <c r="B78" t="s">
        <v>31</v>
      </c>
      <c r="C78">
        <v>145</v>
      </c>
      <c r="D78" s="4" t="s">
        <v>18</v>
      </c>
      <c r="E78" s="5">
        <v>44956</v>
      </c>
      <c r="F78">
        <v>78</v>
      </c>
      <c r="G78">
        <v>1.9</v>
      </c>
      <c r="H78">
        <f>IF(MONTH(calls[[#This Row],[Date of Call]])&lt;=6, YEAR(calls[[#This Row],[Date of Call]]), YEAR(calls[[#This Row],[Date of Call]])+1)</f>
        <v>2023</v>
      </c>
      <c r="I78" t="str">
        <f>TEXT(calls[[#This Row],[Date of Call]],"DDDD")</f>
        <v>Monday</v>
      </c>
      <c r="J78" t="str">
        <f t="array" ref="J78">_xlfn.IFS(calls[[#This Row],[Duration]]&lt;=10,"Under 10 mins", calls[[#This Row],[Duration]]&lt;=30, "10 to 30 mins", calls[[#This Row],[Duration]]&lt;=60, "30 to 60 mins", calls[[#This Row],[Duration]]&lt;=120, "1 to 2 hours", TRUE, "More than 2 hours")</f>
        <v>More than 2 hours</v>
      </c>
      <c r="K78">
        <f>ROUND(calls[[#This Row],[Satisfaction Rating]],0)</f>
        <v>2</v>
      </c>
    </row>
    <row r="79" spans="1:11" ht="13.8" x14ac:dyDescent="0.25">
      <c r="A79" t="s">
        <v>108</v>
      </c>
      <c r="B79" t="s">
        <v>15</v>
      </c>
      <c r="C79">
        <v>43</v>
      </c>
      <c r="D79" s="4" t="s">
        <v>32</v>
      </c>
      <c r="E79" s="5">
        <v>44956</v>
      </c>
      <c r="F79">
        <v>23</v>
      </c>
      <c r="G79">
        <v>4.9000000000000004</v>
      </c>
      <c r="H79">
        <f>IF(MONTH(calls[[#This Row],[Date of Call]])&lt;=6, YEAR(calls[[#This Row],[Date of Call]]), YEAR(calls[[#This Row],[Date of Call]])+1)</f>
        <v>2023</v>
      </c>
      <c r="I79" t="str">
        <f>TEXT(calls[[#This Row],[Date of Call]],"DDDD")</f>
        <v>Monday</v>
      </c>
      <c r="J79" t="str">
        <f t="array" ref="J79">_xlfn.IFS(calls[[#This Row],[Duration]]&lt;=10,"Under 10 mins", calls[[#This Row],[Duration]]&lt;=30, "10 to 30 mins", calls[[#This Row],[Duration]]&lt;=60, "30 to 60 mins", calls[[#This Row],[Duration]]&lt;=120, "1 to 2 hours", TRUE, "More than 2 hours")</f>
        <v>30 to 60 mins</v>
      </c>
      <c r="K79">
        <f>ROUND(calls[[#This Row],[Satisfaction Rating]],0)</f>
        <v>5</v>
      </c>
    </row>
    <row r="80" spans="1:11" ht="13.8" x14ac:dyDescent="0.25">
      <c r="A80" t="s">
        <v>109</v>
      </c>
      <c r="B80" t="s">
        <v>22</v>
      </c>
      <c r="C80">
        <v>62</v>
      </c>
      <c r="D80" s="4" t="s">
        <v>13</v>
      </c>
      <c r="E80" s="5">
        <v>44957</v>
      </c>
      <c r="F80">
        <v>99</v>
      </c>
      <c r="G80">
        <v>3.6</v>
      </c>
      <c r="H80">
        <f>IF(MONTH(calls[[#This Row],[Date of Call]])&lt;=6, YEAR(calls[[#This Row],[Date of Call]]), YEAR(calls[[#This Row],[Date of Call]])+1)</f>
        <v>2023</v>
      </c>
      <c r="I80" t="str">
        <f>TEXT(calls[[#This Row],[Date of Call]],"DDDD")</f>
        <v>Tuesday</v>
      </c>
      <c r="J80" t="str">
        <f t="array" ref="J80">_xlfn.IFS(calls[[#This Row],[Duration]]&lt;=10,"Under 10 mins", calls[[#This Row],[Duration]]&lt;=30, "10 to 30 mins", calls[[#This Row],[Duration]]&lt;=60, "30 to 60 mins", calls[[#This Row],[Duration]]&lt;=120, "1 to 2 hours", TRUE, "More than 2 hours")</f>
        <v>1 to 2 hours</v>
      </c>
      <c r="K80">
        <f>ROUND(calls[[#This Row],[Satisfaction Rating]],0)</f>
        <v>4</v>
      </c>
    </row>
    <row r="81" spans="1:11" ht="13.8" x14ac:dyDescent="0.25">
      <c r="A81" t="s">
        <v>110</v>
      </c>
      <c r="B81" t="s">
        <v>43</v>
      </c>
      <c r="C81">
        <v>79</v>
      </c>
      <c r="D81" s="4" t="s">
        <v>32</v>
      </c>
      <c r="E81" s="5">
        <v>44958</v>
      </c>
      <c r="F81">
        <v>148</v>
      </c>
      <c r="G81">
        <v>4.5</v>
      </c>
      <c r="H81">
        <f>IF(MONTH(calls[[#This Row],[Date of Call]])&lt;=6, YEAR(calls[[#This Row],[Date of Call]]), YEAR(calls[[#This Row],[Date of Call]])+1)</f>
        <v>2023</v>
      </c>
      <c r="I81" t="str">
        <f>TEXT(calls[[#This Row],[Date of Call]],"DDDD")</f>
        <v>Wednesday</v>
      </c>
      <c r="J81" t="str">
        <f t="array" ref="J81">_xlfn.IFS(calls[[#This Row],[Duration]]&lt;=10,"Under 10 mins", calls[[#This Row],[Duration]]&lt;=30, "10 to 30 mins", calls[[#This Row],[Duration]]&lt;=60, "30 to 60 mins", calls[[#This Row],[Duration]]&lt;=120, "1 to 2 hours", TRUE, "More than 2 hours")</f>
        <v>1 to 2 hours</v>
      </c>
      <c r="K81">
        <f>ROUND(calls[[#This Row],[Satisfaction Rating]],0)</f>
        <v>5</v>
      </c>
    </row>
    <row r="82" spans="1:11" ht="13.8" x14ac:dyDescent="0.25">
      <c r="A82" t="s">
        <v>111</v>
      </c>
      <c r="B82" t="s">
        <v>31</v>
      </c>
      <c r="C82">
        <v>45</v>
      </c>
      <c r="D82" s="4" t="s">
        <v>28</v>
      </c>
      <c r="E82" s="5">
        <v>44958</v>
      </c>
      <c r="F82">
        <v>34</v>
      </c>
      <c r="G82">
        <v>3.7</v>
      </c>
      <c r="H82">
        <f>IF(MONTH(calls[[#This Row],[Date of Call]])&lt;=6, YEAR(calls[[#This Row],[Date of Call]]), YEAR(calls[[#This Row],[Date of Call]])+1)</f>
        <v>2023</v>
      </c>
      <c r="I82" t="str">
        <f>TEXT(calls[[#This Row],[Date of Call]],"DDDD")</f>
        <v>Wednesday</v>
      </c>
      <c r="J82" t="str">
        <f t="array" ref="J82">_xlfn.IFS(calls[[#This Row],[Duration]]&lt;=10,"Under 10 mins", calls[[#This Row],[Duration]]&lt;=30, "10 to 30 mins", calls[[#This Row],[Duration]]&lt;=60, "30 to 60 mins", calls[[#This Row],[Duration]]&lt;=120, "1 to 2 hours", TRUE, "More than 2 hours")</f>
        <v>30 to 60 mins</v>
      </c>
      <c r="K82">
        <f>ROUND(calls[[#This Row],[Satisfaction Rating]],0)</f>
        <v>4</v>
      </c>
    </row>
    <row r="83" spans="1:11" ht="13.8" x14ac:dyDescent="0.25">
      <c r="A83" t="s">
        <v>112</v>
      </c>
      <c r="B83" t="s">
        <v>22</v>
      </c>
      <c r="C83">
        <v>137</v>
      </c>
      <c r="D83" s="4" t="s">
        <v>32</v>
      </c>
      <c r="E83" s="5">
        <v>44958</v>
      </c>
      <c r="F83">
        <v>86</v>
      </c>
      <c r="G83">
        <v>4.8</v>
      </c>
      <c r="H83">
        <f>IF(MONTH(calls[[#This Row],[Date of Call]])&lt;=6, YEAR(calls[[#This Row],[Date of Call]]), YEAR(calls[[#This Row],[Date of Call]])+1)</f>
        <v>2023</v>
      </c>
      <c r="I83" t="str">
        <f>TEXT(calls[[#This Row],[Date of Call]],"DDDD")</f>
        <v>Wednesday</v>
      </c>
      <c r="J83" t="str">
        <f t="array" ref="J83">_xlfn.IFS(calls[[#This Row],[Duration]]&lt;=10,"Under 10 mins", calls[[#This Row],[Duration]]&lt;=30, "10 to 30 mins", calls[[#This Row],[Duration]]&lt;=60, "30 to 60 mins", calls[[#This Row],[Duration]]&lt;=120, "1 to 2 hours", TRUE, "More than 2 hours")</f>
        <v>More than 2 hours</v>
      </c>
      <c r="K83">
        <f>ROUND(calls[[#This Row],[Satisfaction Rating]],0)</f>
        <v>5</v>
      </c>
    </row>
    <row r="84" spans="1:11" ht="13.8" x14ac:dyDescent="0.25">
      <c r="A84" t="s">
        <v>113</v>
      </c>
      <c r="B84" t="s">
        <v>84</v>
      </c>
      <c r="C84">
        <v>109</v>
      </c>
      <c r="D84" s="4" t="s">
        <v>13</v>
      </c>
      <c r="E84" s="5">
        <v>44958</v>
      </c>
      <c r="F84">
        <v>105</v>
      </c>
      <c r="G84">
        <v>3.3</v>
      </c>
      <c r="H84">
        <f>IF(MONTH(calls[[#This Row],[Date of Call]])&lt;=6, YEAR(calls[[#This Row],[Date of Call]]), YEAR(calls[[#This Row],[Date of Call]])+1)</f>
        <v>2023</v>
      </c>
      <c r="I84" t="str">
        <f>TEXT(calls[[#This Row],[Date of Call]],"DDDD")</f>
        <v>Wednesday</v>
      </c>
      <c r="J84" t="str">
        <f t="array" ref="J84">_xlfn.IFS(calls[[#This Row],[Duration]]&lt;=10,"Under 10 mins", calls[[#This Row],[Duration]]&lt;=30, "10 to 30 mins", calls[[#This Row],[Duration]]&lt;=60, "30 to 60 mins", calls[[#This Row],[Duration]]&lt;=120, "1 to 2 hours", TRUE, "More than 2 hours")</f>
        <v>1 to 2 hours</v>
      </c>
      <c r="K84">
        <f>ROUND(calls[[#This Row],[Satisfaction Rating]],0)</f>
        <v>3</v>
      </c>
    </row>
    <row r="85" spans="1:11" ht="13.8" x14ac:dyDescent="0.25">
      <c r="A85" t="s">
        <v>114</v>
      </c>
      <c r="B85" t="s">
        <v>15</v>
      </c>
      <c r="C85">
        <v>78</v>
      </c>
      <c r="D85" s="4" t="s">
        <v>13</v>
      </c>
      <c r="E85" s="5">
        <v>44958</v>
      </c>
      <c r="F85">
        <v>62</v>
      </c>
      <c r="G85">
        <v>3.1</v>
      </c>
      <c r="H85">
        <f>IF(MONTH(calls[[#This Row],[Date of Call]])&lt;=6, YEAR(calls[[#This Row],[Date of Call]]), YEAR(calls[[#This Row],[Date of Call]])+1)</f>
        <v>2023</v>
      </c>
      <c r="I85" t="str">
        <f>TEXT(calls[[#This Row],[Date of Call]],"DDDD")</f>
        <v>Wednesday</v>
      </c>
      <c r="J85" t="str">
        <f t="array" ref="J85">_xlfn.IFS(calls[[#This Row],[Duration]]&lt;=10,"Under 10 mins", calls[[#This Row],[Duration]]&lt;=30, "10 to 30 mins", calls[[#This Row],[Duration]]&lt;=60, "30 to 60 mins", calls[[#This Row],[Duration]]&lt;=120, "1 to 2 hours", TRUE, "More than 2 hours")</f>
        <v>1 to 2 hours</v>
      </c>
      <c r="K85">
        <f>ROUND(calls[[#This Row],[Satisfaction Rating]],0)</f>
        <v>3</v>
      </c>
    </row>
    <row r="86" spans="1:11" ht="13.8" x14ac:dyDescent="0.25">
      <c r="A86" t="s">
        <v>115</v>
      </c>
      <c r="B86" t="s">
        <v>22</v>
      </c>
      <c r="C86">
        <v>137</v>
      </c>
      <c r="D86" s="4" t="s">
        <v>28</v>
      </c>
      <c r="E86" s="5">
        <v>44958</v>
      </c>
      <c r="F86">
        <v>90</v>
      </c>
      <c r="G86">
        <v>4.0999999999999996</v>
      </c>
      <c r="H86">
        <f>IF(MONTH(calls[[#This Row],[Date of Call]])&lt;=6, YEAR(calls[[#This Row],[Date of Call]]), YEAR(calls[[#This Row],[Date of Call]])+1)</f>
        <v>2023</v>
      </c>
      <c r="I86" t="str">
        <f>TEXT(calls[[#This Row],[Date of Call]],"DDDD")</f>
        <v>Wednesday</v>
      </c>
      <c r="J86" t="str">
        <f t="array" ref="J86">_xlfn.IFS(calls[[#This Row],[Duration]]&lt;=10,"Under 10 mins", calls[[#This Row],[Duration]]&lt;=30, "10 to 30 mins", calls[[#This Row],[Duration]]&lt;=60, "30 to 60 mins", calls[[#This Row],[Duration]]&lt;=120, "1 to 2 hours", TRUE, "More than 2 hours")</f>
        <v>More than 2 hours</v>
      </c>
      <c r="K86">
        <f>ROUND(calls[[#This Row],[Satisfaction Rating]],0)</f>
        <v>4</v>
      </c>
    </row>
    <row r="87" spans="1:11" ht="13.8" x14ac:dyDescent="0.25">
      <c r="A87" t="s">
        <v>116</v>
      </c>
      <c r="B87" t="s">
        <v>20</v>
      </c>
      <c r="C87">
        <v>99</v>
      </c>
      <c r="D87" s="4" t="s">
        <v>13</v>
      </c>
      <c r="E87" s="5">
        <v>44959</v>
      </c>
      <c r="F87">
        <v>112</v>
      </c>
      <c r="G87">
        <v>4.9000000000000004</v>
      </c>
      <c r="H87">
        <f>IF(MONTH(calls[[#This Row],[Date of Call]])&lt;=6, YEAR(calls[[#This Row],[Date of Call]]), YEAR(calls[[#This Row],[Date of Call]])+1)</f>
        <v>2023</v>
      </c>
      <c r="I87" t="str">
        <f>TEXT(calls[[#This Row],[Date of Call]],"DDDD")</f>
        <v>Thursday</v>
      </c>
      <c r="J87" t="str">
        <f t="array" ref="J87">_xlfn.IFS(calls[[#This Row],[Duration]]&lt;=10,"Under 10 mins", calls[[#This Row],[Duration]]&lt;=30, "10 to 30 mins", calls[[#This Row],[Duration]]&lt;=60, "30 to 60 mins", calls[[#This Row],[Duration]]&lt;=120, "1 to 2 hours", TRUE, "More than 2 hours")</f>
        <v>1 to 2 hours</v>
      </c>
      <c r="K87">
        <f>ROUND(calls[[#This Row],[Satisfaction Rating]],0)</f>
        <v>5</v>
      </c>
    </row>
    <row r="88" spans="1:11" ht="13.8" x14ac:dyDescent="0.25">
      <c r="A88" t="s">
        <v>117</v>
      </c>
      <c r="B88" t="s">
        <v>51</v>
      </c>
      <c r="C88">
        <v>100</v>
      </c>
      <c r="D88" s="4" t="s">
        <v>13</v>
      </c>
      <c r="E88" s="5">
        <v>44959</v>
      </c>
      <c r="F88">
        <v>135</v>
      </c>
      <c r="G88">
        <v>4</v>
      </c>
      <c r="H88">
        <f>IF(MONTH(calls[[#This Row],[Date of Call]])&lt;=6, YEAR(calls[[#This Row],[Date of Call]]), YEAR(calls[[#This Row],[Date of Call]])+1)</f>
        <v>2023</v>
      </c>
      <c r="I88" t="str">
        <f>TEXT(calls[[#This Row],[Date of Call]],"DDDD")</f>
        <v>Thursday</v>
      </c>
      <c r="J88" t="str">
        <f t="array" ref="J88">_xlfn.IFS(calls[[#This Row],[Duration]]&lt;=10,"Under 10 mins", calls[[#This Row],[Duration]]&lt;=30, "10 to 30 mins", calls[[#This Row],[Duration]]&lt;=60, "30 to 60 mins", calls[[#This Row],[Duration]]&lt;=120, "1 to 2 hours", TRUE, "More than 2 hours")</f>
        <v>1 to 2 hours</v>
      </c>
      <c r="K88">
        <f>ROUND(calls[[#This Row],[Satisfaction Rating]],0)</f>
        <v>4</v>
      </c>
    </row>
    <row r="89" spans="1:11" ht="13.8" x14ac:dyDescent="0.25">
      <c r="A89" t="s">
        <v>118</v>
      </c>
      <c r="B89" t="s">
        <v>15</v>
      </c>
      <c r="C89">
        <v>47</v>
      </c>
      <c r="D89" s="4" t="s">
        <v>18</v>
      </c>
      <c r="E89" s="5">
        <v>44959</v>
      </c>
      <c r="F89">
        <v>34</v>
      </c>
      <c r="G89">
        <v>2.1</v>
      </c>
      <c r="H89">
        <f>IF(MONTH(calls[[#This Row],[Date of Call]])&lt;=6, YEAR(calls[[#This Row],[Date of Call]]), YEAR(calls[[#This Row],[Date of Call]])+1)</f>
        <v>2023</v>
      </c>
      <c r="I89" t="str">
        <f>TEXT(calls[[#This Row],[Date of Call]],"DDDD")</f>
        <v>Thursday</v>
      </c>
      <c r="J89" t="str">
        <f t="array" ref="J89">_xlfn.IFS(calls[[#This Row],[Duration]]&lt;=10,"Under 10 mins", calls[[#This Row],[Duration]]&lt;=30, "10 to 30 mins", calls[[#This Row],[Duration]]&lt;=60, "30 to 60 mins", calls[[#This Row],[Duration]]&lt;=120, "1 to 2 hours", TRUE, "More than 2 hours")</f>
        <v>30 to 60 mins</v>
      </c>
      <c r="K89">
        <f>ROUND(calls[[#This Row],[Satisfaction Rating]],0)</f>
        <v>2</v>
      </c>
    </row>
    <row r="90" spans="1:11" ht="13.8" x14ac:dyDescent="0.25">
      <c r="A90" t="s">
        <v>119</v>
      </c>
      <c r="B90" t="s">
        <v>84</v>
      </c>
      <c r="C90">
        <v>87</v>
      </c>
      <c r="D90" s="4" t="s">
        <v>23</v>
      </c>
      <c r="E90" s="5">
        <v>44959</v>
      </c>
      <c r="F90">
        <v>155</v>
      </c>
      <c r="G90">
        <v>4.5</v>
      </c>
      <c r="H90">
        <f>IF(MONTH(calls[[#This Row],[Date of Call]])&lt;=6, YEAR(calls[[#This Row],[Date of Call]]), YEAR(calls[[#This Row],[Date of Call]])+1)</f>
        <v>2023</v>
      </c>
      <c r="I90" t="str">
        <f>TEXT(calls[[#This Row],[Date of Call]],"DDDD")</f>
        <v>Thursday</v>
      </c>
      <c r="J90" t="str">
        <f t="array" ref="J90">_xlfn.IFS(calls[[#This Row],[Duration]]&lt;=10,"Under 10 mins", calls[[#This Row],[Duration]]&lt;=30, "10 to 30 mins", calls[[#This Row],[Duration]]&lt;=60, "30 to 60 mins", calls[[#This Row],[Duration]]&lt;=120, "1 to 2 hours", TRUE, "More than 2 hours")</f>
        <v>1 to 2 hours</v>
      </c>
      <c r="K90">
        <f>ROUND(calls[[#This Row],[Satisfaction Rating]],0)</f>
        <v>5</v>
      </c>
    </row>
    <row r="91" spans="1:11" ht="13.8" x14ac:dyDescent="0.25">
      <c r="A91" t="s">
        <v>120</v>
      </c>
      <c r="B91" t="s">
        <v>20</v>
      </c>
      <c r="C91">
        <v>143</v>
      </c>
      <c r="D91" s="4" t="s">
        <v>23</v>
      </c>
      <c r="E91" s="5">
        <v>44961</v>
      </c>
      <c r="F91">
        <v>124</v>
      </c>
      <c r="G91">
        <v>4.9000000000000004</v>
      </c>
      <c r="H91">
        <f>IF(MONTH(calls[[#This Row],[Date of Call]])&lt;=6, YEAR(calls[[#This Row],[Date of Call]]), YEAR(calls[[#This Row],[Date of Call]])+1)</f>
        <v>2023</v>
      </c>
      <c r="I91" t="str">
        <f>TEXT(calls[[#This Row],[Date of Call]],"DDDD")</f>
        <v>Saturday</v>
      </c>
      <c r="J91" t="str">
        <f t="array" ref="J91">_xlfn.IFS(calls[[#This Row],[Duration]]&lt;=10,"Under 10 mins", calls[[#This Row],[Duration]]&lt;=30, "10 to 30 mins", calls[[#This Row],[Duration]]&lt;=60, "30 to 60 mins", calls[[#This Row],[Duration]]&lt;=120, "1 to 2 hours", TRUE, "More than 2 hours")</f>
        <v>More than 2 hours</v>
      </c>
      <c r="K91">
        <f>ROUND(calls[[#This Row],[Satisfaction Rating]],0)</f>
        <v>5</v>
      </c>
    </row>
    <row r="92" spans="1:11" ht="13.8" x14ac:dyDescent="0.25">
      <c r="A92" t="s">
        <v>121</v>
      </c>
      <c r="B92" t="s">
        <v>51</v>
      </c>
      <c r="C92">
        <v>84</v>
      </c>
      <c r="D92" s="4" t="s">
        <v>13</v>
      </c>
      <c r="E92" s="5">
        <v>44961</v>
      </c>
      <c r="F92">
        <v>195</v>
      </c>
      <c r="G92">
        <v>4.0999999999999996</v>
      </c>
      <c r="H92">
        <f>IF(MONTH(calls[[#This Row],[Date of Call]])&lt;=6, YEAR(calls[[#This Row],[Date of Call]]), YEAR(calls[[#This Row],[Date of Call]])+1)</f>
        <v>2023</v>
      </c>
      <c r="I92" t="str">
        <f>TEXT(calls[[#This Row],[Date of Call]],"DDDD")</f>
        <v>Saturday</v>
      </c>
      <c r="J92" t="str">
        <f t="array" ref="J92">_xlfn.IFS(calls[[#This Row],[Duration]]&lt;=10,"Under 10 mins", calls[[#This Row],[Duration]]&lt;=30, "10 to 30 mins", calls[[#This Row],[Duration]]&lt;=60, "30 to 60 mins", calls[[#This Row],[Duration]]&lt;=120, "1 to 2 hours", TRUE, "More than 2 hours")</f>
        <v>1 to 2 hours</v>
      </c>
      <c r="K92">
        <f>ROUND(calls[[#This Row],[Satisfaction Rating]],0)</f>
        <v>4</v>
      </c>
    </row>
    <row r="93" spans="1:11" ht="13.8" x14ac:dyDescent="0.25">
      <c r="A93" t="s">
        <v>122</v>
      </c>
      <c r="B93" t="s">
        <v>64</v>
      </c>
      <c r="C93">
        <v>55</v>
      </c>
      <c r="D93" s="4" t="s">
        <v>23</v>
      </c>
      <c r="E93" s="5">
        <v>44962</v>
      </c>
      <c r="F93">
        <v>78</v>
      </c>
      <c r="G93">
        <v>4.5</v>
      </c>
      <c r="H93">
        <f>IF(MONTH(calls[[#This Row],[Date of Call]])&lt;=6, YEAR(calls[[#This Row],[Date of Call]]), YEAR(calls[[#This Row],[Date of Call]])+1)</f>
        <v>2023</v>
      </c>
      <c r="I93" t="str">
        <f>TEXT(calls[[#This Row],[Date of Call]],"DDDD")</f>
        <v>Sunday</v>
      </c>
      <c r="J93" t="str">
        <f t="array" ref="J93">_xlfn.IFS(calls[[#This Row],[Duration]]&lt;=10,"Under 10 mins", calls[[#This Row],[Duration]]&lt;=30, "10 to 30 mins", calls[[#This Row],[Duration]]&lt;=60, "30 to 60 mins", calls[[#This Row],[Duration]]&lt;=120, "1 to 2 hours", TRUE, "More than 2 hours")</f>
        <v>30 to 60 mins</v>
      </c>
      <c r="K93">
        <f>ROUND(calls[[#This Row],[Satisfaction Rating]],0)</f>
        <v>5</v>
      </c>
    </row>
    <row r="94" spans="1:11" ht="13.8" x14ac:dyDescent="0.25">
      <c r="A94" t="s">
        <v>123</v>
      </c>
      <c r="B94" t="s">
        <v>26</v>
      </c>
      <c r="C94">
        <v>135</v>
      </c>
      <c r="D94" s="4" t="s">
        <v>28</v>
      </c>
      <c r="E94" s="5">
        <v>44964</v>
      </c>
      <c r="F94">
        <v>35</v>
      </c>
      <c r="G94">
        <v>4.8</v>
      </c>
      <c r="H94">
        <f>IF(MONTH(calls[[#This Row],[Date of Call]])&lt;=6, YEAR(calls[[#This Row],[Date of Call]]), YEAR(calls[[#This Row],[Date of Call]])+1)</f>
        <v>2023</v>
      </c>
      <c r="I94" t="str">
        <f>TEXT(calls[[#This Row],[Date of Call]],"DDDD")</f>
        <v>Tuesday</v>
      </c>
      <c r="J94" t="str">
        <f t="array" ref="J94">_xlfn.IFS(calls[[#This Row],[Duration]]&lt;=10,"Under 10 mins", calls[[#This Row],[Duration]]&lt;=30, "10 to 30 mins", calls[[#This Row],[Duration]]&lt;=60, "30 to 60 mins", calls[[#This Row],[Duration]]&lt;=120, "1 to 2 hours", TRUE, "More than 2 hours")</f>
        <v>More than 2 hours</v>
      </c>
      <c r="K94">
        <f>ROUND(calls[[#This Row],[Satisfaction Rating]],0)</f>
        <v>5</v>
      </c>
    </row>
    <row r="95" spans="1:11" ht="13.8" x14ac:dyDescent="0.25">
      <c r="A95" t="s">
        <v>124</v>
      </c>
      <c r="B95" t="s">
        <v>54</v>
      </c>
      <c r="C95">
        <v>152</v>
      </c>
      <c r="D95" s="4" t="s">
        <v>18</v>
      </c>
      <c r="E95" s="5">
        <v>44964</v>
      </c>
      <c r="F95">
        <v>123</v>
      </c>
      <c r="G95">
        <v>4.5999999999999996</v>
      </c>
      <c r="H95">
        <f>IF(MONTH(calls[[#This Row],[Date of Call]])&lt;=6, YEAR(calls[[#This Row],[Date of Call]]), YEAR(calls[[#This Row],[Date of Call]])+1)</f>
        <v>2023</v>
      </c>
      <c r="I95" t="str">
        <f>TEXT(calls[[#This Row],[Date of Call]],"DDDD")</f>
        <v>Tuesday</v>
      </c>
      <c r="J95" t="str">
        <f t="array" ref="J95">_xlfn.IFS(calls[[#This Row],[Duration]]&lt;=10,"Under 10 mins", calls[[#This Row],[Duration]]&lt;=30, "10 to 30 mins", calls[[#This Row],[Duration]]&lt;=60, "30 to 60 mins", calls[[#This Row],[Duration]]&lt;=120, "1 to 2 hours", TRUE, "More than 2 hours")</f>
        <v>More than 2 hours</v>
      </c>
      <c r="K95">
        <f>ROUND(calls[[#This Row],[Satisfaction Rating]],0)</f>
        <v>5</v>
      </c>
    </row>
    <row r="96" spans="1:11" ht="13.8" x14ac:dyDescent="0.25">
      <c r="A96" t="s">
        <v>125</v>
      </c>
      <c r="B96" t="s">
        <v>17</v>
      </c>
      <c r="C96">
        <v>132</v>
      </c>
      <c r="D96" s="4" t="s">
        <v>18</v>
      </c>
      <c r="E96" s="5">
        <v>44964</v>
      </c>
      <c r="F96">
        <v>43</v>
      </c>
      <c r="G96">
        <v>4.5999999999999996</v>
      </c>
      <c r="H96">
        <f>IF(MONTH(calls[[#This Row],[Date of Call]])&lt;=6, YEAR(calls[[#This Row],[Date of Call]]), YEAR(calls[[#This Row],[Date of Call]])+1)</f>
        <v>2023</v>
      </c>
      <c r="I96" t="str">
        <f>TEXT(calls[[#This Row],[Date of Call]],"DDDD")</f>
        <v>Tuesday</v>
      </c>
      <c r="J96" t="str">
        <f t="array" ref="J96">_xlfn.IFS(calls[[#This Row],[Duration]]&lt;=10,"Under 10 mins", calls[[#This Row],[Duration]]&lt;=30, "10 to 30 mins", calls[[#This Row],[Duration]]&lt;=60, "30 to 60 mins", calls[[#This Row],[Duration]]&lt;=120, "1 to 2 hours", TRUE, "More than 2 hours")</f>
        <v>More than 2 hours</v>
      </c>
      <c r="K96">
        <f>ROUND(calls[[#This Row],[Satisfaction Rating]],0)</f>
        <v>5</v>
      </c>
    </row>
    <row r="97" spans="1:11" ht="13.8" x14ac:dyDescent="0.25">
      <c r="A97" t="s">
        <v>126</v>
      </c>
      <c r="B97" t="s">
        <v>46</v>
      </c>
      <c r="C97">
        <v>60</v>
      </c>
      <c r="D97" s="4" t="s">
        <v>13</v>
      </c>
      <c r="E97" s="5">
        <v>44965</v>
      </c>
      <c r="F97">
        <v>69</v>
      </c>
      <c r="G97">
        <v>4.3</v>
      </c>
      <c r="H97">
        <f>IF(MONTH(calls[[#This Row],[Date of Call]])&lt;=6, YEAR(calls[[#This Row],[Date of Call]]), YEAR(calls[[#This Row],[Date of Call]])+1)</f>
        <v>2023</v>
      </c>
      <c r="I97" t="str">
        <f>TEXT(calls[[#This Row],[Date of Call]],"DDDD")</f>
        <v>Wednesday</v>
      </c>
      <c r="J97" t="str">
        <f t="array" ref="J97">_xlfn.IFS(calls[[#This Row],[Duration]]&lt;=10,"Under 10 mins", calls[[#This Row],[Duration]]&lt;=30, "10 to 30 mins", calls[[#This Row],[Duration]]&lt;=60, "30 to 60 mins", calls[[#This Row],[Duration]]&lt;=120, "1 to 2 hours", TRUE, "More than 2 hours")</f>
        <v>30 to 60 mins</v>
      </c>
      <c r="K97">
        <f>ROUND(calls[[#This Row],[Satisfaction Rating]],0)</f>
        <v>4</v>
      </c>
    </row>
    <row r="98" spans="1:11" ht="13.8" x14ac:dyDescent="0.25">
      <c r="A98" t="s">
        <v>127</v>
      </c>
      <c r="B98" t="s">
        <v>54</v>
      </c>
      <c r="C98">
        <v>95</v>
      </c>
      <c r="D98" s="4" t="s">
        <v>18</v>
      </c>
      <c r="E98" s="5">
        <v>44965</v>
      </c>
      <c r="F98">
        <v>130</v>
      </c>
      <c r="G98">
        <v>5</v>
      </c>
      <c r="H98">
        <f>IF(MONTH(calls[[#This Row],[Date of Call]])&lt;=6, YEAR(calls[[#This Row],[Date of Call]]), YEAR(calls[[#This Row],[Date of Call]])+1)</f>
        <v>2023</v>
      </c>
      <c r="I98" t="str">
        <f>TEXT(calls[[#This Row],[Date of Call]],"DDDD")</f>
        <v>Wednesday</v>
      </c>
      <c r="J98" t="str">
        <f t="array" ref="J98">_xlfn.IFS(calls[[#This Row],[Duration]]&lt;=10,"Under 10 mins", calls[[#This Row],[Duration]]&lt;=30, "10 to 30 mins", calls[[#This Row],[Duration]]&lt;=60, "30 to 60 mins", calls[[#This Row],[Duration]]&lt;=120, "1 to 2 hours", TRUE, "More than 2 hours")</f>
        <v>1 to 2 hours</v>
      </c>
      <c r="K98">
        <f>ROUND(calls[[#This Row],[Satisfaction Rating]],0)</f>
        <v>5</v>
      </c>
    </row>
    <row r="99" spans="1:11" ht="13.8" x14ac:dyDescent="0.25">
      <c r="A99" t="s">
        <v>128</v>
      </c>
      <c r="B99" t="s">
        <v>12</v>
      </c>
      <c r="C99">
        <v>96</v>
      </c>
      <c r="D99" s="4" t="s">
        <v>32</v>
      </c>
      <c r="E99" s="5">
        <v>44965</v>
      </c>
      <c r="F99">
        <v>120</v>
      </c>
      <c r="G99">
        <v>4</v>
      </c>
      <c r="H99">
        <f>IF(MONTH(calls[[#This Row],[Date of Call]])&lt;=6, YEAR(calls[[#This Row],[Date of Call]]), YEAR(calls[[#This Row],[Date of Call]])+1)</f>
        <v>2023</v>
      </c>
      <c r="I99" t="str">
        <f>TEXT(calls[[#This Row],[Date of Call]],"DDDD")</f>
        <v>Wednesday</v>
      </c>
      <c r="J99" t="str">
        <f t="array" ref="J99">_xlfn.IFS(calls[[#This Row],[Duration]]&lt;=10,"Under 10 mins", calls[[#This Row],[Duration]]&lt;=30, "10 to 30 mins", calls[[#This Row],[Duration]]&lt;=60, "30 to 60 mins", calls[[#This Row],[Duration]]&lt;=120, "1 to 2 hours", TRUE, "More than 2 hours")</f>
        <v>1 to 2 hours</v>
      </c>
      <c r="K99">
        <f>ROUND(calls[[#This Row],[Satisfaction Rating]],0)</f>
        <v>4</v>
      </c>
    </row>
    <row r="100" spans="1:11" ht="13.8" x14ac:dyDescent="0.25">
      <c r="A100" t="s">
        <v>129</v>
      </c>
      <c r="B100" t="s">
        <v>64</v>
      </c>
      <c r="C100">
        <v>45</v>
      </c>
      <c r="D100" s="4" t="s">
        <v>13</v>
      </c>
      <c r="E100" s="5">
        <v>44966</v>
      </c>
      <c r="F100">
        <v>84</v>
      </c>
      <c r="G100">
        <v>4.5999999999999996</v>
      </c>
      <c r="H100">
        <f>IF(MONTH(calls[[#This Row],[Date of Call]])&lt;=6, YEAR(calls[[#This Row],[Date of Call]]), YEAR(calls[[#This Row],[Date of Call]])+1)</f>
        <v>2023</v>
      </c>
      <c r="I100" t="str">
        <f>TEXT(calls[[#This Row],[Date of Call]],"DDDD")</f>
        <v>Thursday</v>
      </c>
      <c r="J100" t="str">
        <f t="array" ref="J100">_xlfn.IFS(calls[[#This Row],[Duration]]&lt;=10,"Under 10 mins", calls[[#This Row],[Duration]]&lt;=30, "10 to 30 mins", calls[[#This Row],[Duration]]&lt;=60, "30 to 60 mins", calls[[#This Row],[Duration]]&lt;=120, "1 to 2 hours", TRUE, "More than 2 hours")</f>
        <v>30 to 60 mins</v>
      </c>
      <c r="K100">
        <f>ROUND(calls[[#This Row],[Satisfaction Rating]],0)</f>
        <v>5</v>
      </c>
    </row>
    <row r="101" spans="1:11" ht="13.8" x14ac:dyDescent="0.25">
      <c r="A101" t="s">
        <v>130</v>
      </c>
      <c r="B101" t="s">
        <v>12</v>
      </c>
      <c r="C101">
        <v>132</v>
      </c>
      <c r="D101" s="4" t="s">
        <v>32</v>
      </c>
      <c r="E101" s="5">
        <v>44967</v>
      </c>
      <c r="F101">
        <v>112</v>
      </c>
      <c r="G101">
        <v>4.5</v>
      </c>
      <c r="H101">
        <f>IF(MONTH(calls[[#This Row],[Date of Call]])&lt;=6, YEAR(calls[[#This Row],[Date of Call]]), YEAR(calls[[#This Row],[Date of Call]])+1)</f>
        <v>2023</v>
      </c>
      <c r="I101" t="str">
        <f>TEXT(calls[[#This Row],[Date of Call]],"DDDD")</f>
        <v>Friday</v>
      </c>
      <c r="J101" t="str">
        <f t="array" ref="J101">_xlfn.IFS(calls[[#This Row],[Duration]]&lt;=10,"Under 10 mins", calls[[#This Row],[Duration]]&lt;=30, "10 to 30 mins", calls[[#This Row],[Duration]]&lt;=60, "30 to 60 mins", calls[[#This Row],[Duration]]&lt;=120, "1 to 2 hours", TRUE, "More than 2 hours")</f>
        <v>More than 2 hours</v>
      </c>
      <c r="K101">
        <f>ROUND(calls[[#This Row],[Satisfaction Rating]],0)</f>
        <v>5</v>
      </c>
    </row>
    <row r="102" spans="1:11" ht="13.8" x14ac:dyDescent="0.25">
      <c r="A102" t="s">
        <v>131</v>
      </c>
      <c r="B102" t="s">
        <v>35</v>
      </c>
      <c r="C102">
        <v>95</v>
      </c>
      <c r="D102" s="4" t="s">
        <v>13</v>
      </c>
      <c r="E102" s="5">
        <v>44967</v>
      </c>
      <c r="F102">
        <v>66</v>
      </c>
      <c r="G102">
        <v>4.5999999999999996</v>
      </c>
      <c r="H102">
        <f>IF(MONTH(calls[[#This Row],[Date of Call]])&lt;=6, YEAR(calls[[#This Row],[Date of Call]]), YEAR(calls[[#This Row],[Date of Call]])+1)</f>
        <v>2023</v>
      </c>
      <c r="I102" t="str">
        <f>TEXT(calls[[#This Row],[Date of Call]],"DDDD")</f>
        <v>Friday</v>
      </c>
      <c r="J102" t="str">
        <f t="array" ref="J102">_xlfn.IFS(calls[[#This Row],[Duration]]&lt;=10,"Under 10 mins", calls[[#This Row],[Duration]]&lt;=30, "10 to 30 mins", calls[[#This Row],[Duration]]&lt;=60, "30 to 60 mins", calls[[#This Row],[Duration]]&lt;=120, "1 to 2 hours", TRUE, "More than 2 hours")</f>
        <v>1 to 2 hours</v>
      </c>
      <c r="K102">
        <f>ROUND(calls[[#This Row],[Satisfaction Rating]],0)</f>
        <v>5</v>
      </c>
    </row>
    <row r="103" spans="1:11" ht="13.8" x14ac:dyDescent="0.25">
      <c r="A103" t="s">
        <v>132</v>
      </c>
      <c r="B103" t="s">
        <v>54</v>
      </c>
      <c r="C103">
        <v>131</v>
      </c>
      <c r="D103" s="4" t="s">
        <v>23</v>
      </c>
      <c r="E103" s="5">
        <v>44967</v>
      </c>
      <c r="F103">
        <v>172</v>
      </c>
      <c r="G103">
        <v>2.6</v>
      </c>
      <c r="H103">
        <f>IF(MONTH(calls[[#This Row],[Date of Call]])&lt;=6, YEAR(calls[[#This Row],[Date of Call]]), YEAR(calls[[#This Row],[Date of Call]])+1)</f>
        <v>2023</v>
      </c>
      <c r="I103" t="str">
        <f>TEXT(calls[[#This Row],[Date of Call]],"DDDD")</f>
        <v>Friday</v>
      </c>
      <c r="J103" t="str">
        <f t="array" ref="J103">_xlfn.IFS(calls[[#This Row],[Duration]]&lt;=10,"Under 10 mins", calls[[#This Row],[Duration]]&lt;=30, "10 to 30 mins", calls[[#This Row],[Duration]]&lt;=60, "30 to 60 mins", calls[[#This Row],[Duration]]&lt;=120, "1 to 2 hours", TRUE, "More than 2 hours")</f>
        <v>More than 2 hours</v>
      </c>
      <c r="K103">
        <f>ROUND(calls[[#This Row],[Satisfaction Rating]],0)</f>
        <v>3</v>
      </c>
    </row>
    <row r="104" spans="1:11" ht="13.8" x14ac:dyDescent="0.25">
      <c r="A104" t="s">
        <v>133</v>
      </c>
      <c r="B104" t="s">
        <v>43</v>
      </c>
      <c r="C104">
        <v>67</v>
      </c>
      <c r="D104" s="4" t="s">
        <v>28</v>
      </c>
      <c r="E104" s="5">
        <v>44968</v>
      </c>
      <c r="F104">
        <v>24</v>
      </c>
      <c r="G104">
        <v>4.3</v>
      </c>
      <c r="H104">
        <f>IF(MONTH(calls[[#This Row],[Date of Call]])&lt;=6, YEAR(calls[[#This Row],[Date of Call]]), YEAR(calls[[#This Row],[Date of Call]])+1)</f>
        <v>2023</v>
      </c>
      <c r="I104" t="str">
        <f>TEXT(calls[[#This Row],[Date of Call]],"DDDD")</f>
        <v>Saturday</v>
      </c>
      <c r="J104" t="str">
        <f t="array" ref="J104">_xlfn.IFS(calls[[#This Row],[Duration]]&lt;=10,"Under 10 mins", calls[[#This Row],[Duration]]&lt;=30, "10 to 30 mins", calls[[#This Row],[Duration]]&lt;=60, "30 to 60 mins", calls[[#This Row],[Duration]]&lt;=120, "1 to 2 hours", TRUE, "More than 2 hours")</f>
        <v>1 to 2 hours</v>
      </c>
      <c r="K104">
        <f>ROUND(calls[[#This Row],[Satisfaction Rating]],0)</f>
        <v>4</v>
      </c>
    </row>
    <row r="105" spans="1:11" ht="13.8" x14ac:dyDescent="0.25">
      <c r="A105" t="s">
        <v>134</v>
      </c>
      <c r="B105" t="s">
        <v>20</v>
      </c>
      <c r="C105">
        <v>111</v>
      </c>
      <c r="D105" s="4" t="s">
        <v>23</v>
      </c>
      <c r="E105" s="5">
        <v>44969</v>
      </c>
      <c r="F105">
        <v>43</v>
      </c>
      <c r="G105">
        <v>3.9</v>
      </c>
      <c r="H105">
        <f>IF(MONTH(calls[[#This Row],[Date of Call]])&lt;=6, YEAR(calls[[#This Row],[Date of Call]]), YEAR(calls[[#This Row],[Date of Call]])+1)</f>
        <v>2023</v>
      </c>
      <c r="I105" t="str">
        <f>TEXT(calls[[#This Row],[Date of Call]],"DDDD")</f>
        <v>Sunday</v>
      </c>
      <c r="J105" t="str">
        <f t="array" ref="J105">_xlfn.IFS(calls[[#This Row],[Duration]]&lt;=10,"Under 10 mins", calls[[#This Row],[Duration]]&lt;=30, "10 to 30 mins", calls[[#This Row],[Duration]]&lt;=60, "30 to 60 mins", calls[[#This Row],[Duration]]&lt;=120, "1 to 2 hours", TRUE, "More than 2 hours")</f>
        <v>1 to 2 hours</v>
      </c>
      <c r="K105">
        <f>ROUND(calls[[#This Row],[Satisfaction Rating]],0)</f>
        <v>4</v>
      </c>
    </row>
    <row r="106" spans="1:11" ht="13.8" x14ac:dyDescent="0.25">
      <c r="A106" t="s">
        <v>135</v>
      </c>
      <c r="B106" t="s">
        <v>17</v>
      </c>
      <c r="C106">
        <v>78</v>
      </c>
      <c r="D106" s="4" t="s">
        <v>18</v>
      </c>
      <c r="E106" s="5">
        <v>44969</v>
      </c>
      <c r="F106">
        <v>23</v>
      </c>
      <c r="G106">
        <v>5</v>
      </c>
      <c r="H106">
        <f>IF(MONTH(calls[[#This Row],[Date of Call]])&lt;=6, YEAR(calls[[#This Row],[Date of Call]]), YEAR(calls[[#This Row],[Date of Call]])+1)</f>
        <v>2023</v>
      </c>
      <c r="I106" t="str">
        <f>TEXT(calls[[#This Row],[Date of Call]],"DDDD")</f>
        <v>Sunday</v>
      </c>
      <c r="J106" t="str">
        <f t="array" ref="J106">_xlfn.IFS(calls[[#This Row],[Duration]]&lt;=10,"Under 10 mins", calls[[#This Row],[Duration]]&lt;=30, "10 to 30 mins", calls[[#This Row],[Duration]]&lt;=60, "30 to 60 mins", calls[[#This Row],[Duration]]&lt;=120, "1 to 2 hours", TRUE, "More than 2 hours")</f>
        <v>1 to 2 hours</v>
      </c>
      <c r="K106">
        <f>ROUND(calls[[#This Row],[Satisfaction Rating]],0)</f>
        <v>5</v>
      </c>
    </row>
    <row r="107" spans="1:11" ht="13.8" x14ac:dyDescent="0.25">
      <c r="A107" t="s">
        <v>136</v>
      </c>
      <c r="B107" t="s">
        <v>37</v>
      </c>
      <c r="C107">
        <v>28</v>
      </c>
      <c r="D107" s="4" t="s">
        <v>32</v>
      </c>
      <c r="E107" s="5">
        <v>44969</v>
      </c>
      <c r="F107">
        <v>74</v>
      </c>
      <c r="G107">
        <v>3.5</v>
      </c>
      <c r="H107">
        <f>IF(MONTH(calls[[#This Row],[Date of Call]])&lt;=6, YEAR(calls[[#This Row],[Date of Call]]), YEAR(calls[[#This Row],[Date of Call]])+1)</f>
        <v>2023</v>
      </c>
      <c r="I107" t="str">
        <f>TEXT(calls[[#This Row],[Date of Call]],"DDDD")</f>
        <v>Sunday</v>
      </c>
      <c r="J107" t="str">
        <f t="array" ref="J107">_xlfn.IFS(calls[[#This Row],[Duration]]&lt;=10,"Under 10 mins", calls[[#This Row],[Duration]]&lt;=30, "10 to 30 mins", calls[[#This Row],[Duration]]&lt;=60, "30 to 60 mins", calls[[#This Row],[Duration]]&lt;=120, "1 to 2 hours", TRUE, "More than 2 hours")</f>
        <v>10 to 30 mins</v>
      </c>
      <c r="K107">
        <f>ROUND(calls[[#This Row],[Satisfaction Rating]],0)</f>
        <v>4</v>
      </c>
    </row>
    <row r="108" spans="1:11" ht="13.8" x14ac:dyDescent="0.25">
      <c r="A108" t="s">
        <v>137</v>
      </c>
      <c r="B108" t="s">
        <v>15</v>
      </c>
      <c r="C108">
        <v>127</v>
      </c>
      <c r="D108" s="4" t="s">
        <v>28</v>
      </c>
      <c r="E108" s="5">
        <v>44970</v>
      </c>
      <c r="F108">
        <v>165</v>
      </c>
      <c r="G108">
        <v>4.7</v>
      </c>
      <c r="H108">
        <f>IF(MONTH(calls[[#This Row],[Date of Call]])&lt;=6, YEAR(calls[[#This Row],[Date of Call]]), YEAR(calls[[#This Row],[Date of Call]])+1)</f>
        <v>2023</v>
      </c>
      <c r="I108" t="str">
        <f>TEXT(calls[[#This Row],[Date of Call]],"DDDD")</f>
        <v>Monday</v>
      </c>
      <c r="J108" t="str">
        <f t="array" ref="J108">_xlfn.IFS(calls[[#This Row],[Duration]]&lt;=10,"Under 10 mins", calls[[#This Row],[Duration]]&lt;=30, "10 to 30 mins", calls[[#This Row],[Duration]]&lt;=60, "30 to 60 mins", calls[[#This Row],[Duration]]&lt;=120, "1 to 2 hours", TRUE, "More than 2 hours")</f>
        <v>More than 2 hours</v>
      </c>
      <c r="K108">
        <f>ROUND(calls[[#This Row],[Satisfaction Rating]],0)</f>
        <v>5</v>
      </c>
    </row>
    <row r="109" spans="1:11" ht="13.8" x14ac:dyDescent="0.25">
      <c r="A109" t="s">
        <v>138</v>
      </c>
      <c r="B109" t="s">
        <v>51</v>
      </c>
      <c r="C109">
        <v>137</v>
      </c>
      <c r="D109" s="4" t="s">
        <v>23</v>
      </c>
      <c r="E109" s="5">
        <v>44970</v>
      </c>
      <c r="F109">
        <v>34</v>
      </c>
      <c r="G109">
        <v>2.9</v>
      </c>
      <c r="H109">
        <f>IF(MONTH(calls[[#This Row],[Date of Call]])&lt;=6, YEAR(calls[[#This Row],[Date of Call]]), YEAR(calls[[#This Row],[Date of Call]])+1)</f>
        <v>2023</v>
      </c>
      <c r="I109" t="str">
        <f>TEXT(calls[[#This Row],[Date of Call]],"DDDD")</f>
        <v>Monday</v>
      </c>
      <c r="J109" t="str">
        <f t="array" ref="J109">_xlfn.IFS(calls[[#This Row],[Duration]]&lt;=10,"Under 10 mins", calls[[#This Row],[Duration]]&lt;=30, "10 to 30 mins", calls[[#This Row],[Duration]]&lt;=60, "30 to 60 mins", calls[[#This Row],[Duration]]&lt;=120, "1 to 2 hours", TRUE, "More than 2 hours")</f>
        <v>More than 2 hours</v>
      </c>
      <c r="K109">
        <f>ROUND(calls[[#This Row],[Satisfaction Rating]],0)</f>
        <v>3</v>
      </c>
    </row>
    <row r="110" spans="1:11" ht="13.8" x14ac:dyDescent="0.25">
      <c r="A110" t="s">
        <v>139</v>
      </c>
      <c r="B110" t="s">
        <v>15</v>
      </c>
      <c r="C110">
        <v>76</v>
      </c>
      <c r="D110" s="4" t="s">
        <v>32</v>
      </c>
      <c r="E110" s="5">
        <v>44970</v>
      </c>
      <c r="F110">
        <v>64</v>
      </c>
      <c r="G110">
        <v>3.4</v>
      </c>
      <c r="H110">
        <f>IF(MONTH(calls[[#This Row],[Date of Call]])&lt;=6, YEAR(calls[[#This Row],[Date of Call]]), YEAR(calls[[#This Row],[Date of Call]])+1)</f>
        <v>2023</v>
      </c>
      <c r="I110" t="str">
        <f>TEXT(calls[[#This Row],[Date of Call]],"DDDD")</f>
        <v>Monday</v>
      </c>
      <c r="J110" t="str">
        <f t="array" ref="J110">_xlfn.IFS(calls[[#This Row],[Duration]]&lt;=10,"Under 10 mins", calls[[#This Row],[Duration]]&lt;=30, "10 to 30 mins", calls[[#This Row],[Duration]]&lt;=60, "30 to 60 mins", calls[[#This Row],[Duration]]&lt;=120, "1 to 2 hours", TRUE, "More than 2 hours")</f>
        <v>1 to 2 hours</v>
      </c>
      <c r="K110">
        <f>ROUND(calls[[#This Row],[Satisfaction Rating]],0)</f>
        <v>3</v>
      </c>
    </row>
    <row r="111" spans="1:11" ht="13.8" x14ac:dyDescent="0.25">
      <c r="A111" t="s">
        <v>140</v>
      </c>
      <c r="B111" t="s">
        <v>17</v>
      </c>
      <c r="C111">
        <v>80</v>
      </c>
      <c r="D111" s="4" t="s">
        <v>28</v>
      </c>
      <c r="E111" s="5">
        <v>44971</v>
      </c>
      <c r="F111">
        <v>155</v>
      </c>
      <c r="G111">
        <v>3.2</v>
      </c>
      <c r="H111">
        <f>IF(MONTH(calls[[#This Row],[Date of Call]])&lt;=6, YEAR(calls[[#This Row],[Date of Call]]), YEAR(calls[[#This Row],[Date of Call]])+1)</f>
        <v>2023</v>
      </c>
      <c r="I111" t="str">
        <f>TEXT(calls[[#This Row],[Date of Call]],"DDDD")</f>
        <v>Tuesday</v>
      </c>
      <c r="J111" t="str">
        <f t="array" ref="J111">_xlfn.IFS(calls[[#This Row],[Duration]]&lt;=10,"Under 10 mins", calls[[#This Row],[Duration]]&lt;=30, "10 to 30 mins", calls[[#This Row],[Duration]]&lt;=60, "30 to 60 mins", calls[[#This Row],[Duration]]&lt;=120, "1 to 2 hours", TRUE, "More than 2 hours")</f>
        <v>1 to 2 hours</v>
      </c>
      <c r="K111">
        <f>ROUND(calls[[#This Row],[Satisfaction Rating]],0)</f>
        <v>3</v>
      </c>
    </row>
    <row r="112" spans="1:11" ht="13.8" x14ac:dyDescent="0.25">
      <c r="A112" t="s">
        <v>141</v>
      </c>
      <c r="B112" t="s">
        <v>15</v>
      </c>
      <c r="C112">
        <v>95</v>
      </c>
      <c r="D112" s="4" t="s">
        <v>18</v>
      </c>
      <c r="E112" s="5">
        <v>44972</v>
      </c>
      <c r="F112">
        <v>120</v>
      </c>
      <c r="G112">
        <v>4.8</v>
      </c>
      <c r="H112">
        <f>IF(MONTH(calls[[#This Row],[Date of Call]])&lt;=6, YEAR(calls[[#This Row],[Date of Call]]), YEAR(calls[[#This Row],[Date of Call]])+1)</f>
        <v>2023</v>
      </c>
      <c r="I112" t="str">
        <f>TEXT(calls[[#This Row],[Date of Call]],"DDDD")</f>
        <v>Wednesday</v>
      </c>
      <c r="J112" t="str">
        <f t="array" ref="J112">_xlfn.IFS(calls[[#This Row],[Duration]]&lt;=10,"Under 10 mins", calls[[#This Row],[Duration]]&lt;=30, "10 to 30 mins", calls[[#This Row],[Duration]]&lt;=60, "30 to 60 mins", calls[[#This Row],[Duration]]&lt;=120, "1 to 2 hours", TRUE, "More than 2 hours")</f>
        <v>1 to 2 hours</v>
      </c>
      <c r="K112">
        <f>ROUND(calls[[#This Row],[Satisfaction Rating]],0)</f>
        <v>5</v>
      </c>
    </row>
    <row r="113" spans="1:11" ht="13.8" x14ac:dyDescent="0.25">
      <c r="A113" t="s">
        <v>142</v>
      </c>
      <c r="B113" t="s">
        <v>46</v>
      </c>
      <c r="C113">
        <v>30</v>
      </c>
      <c r="D113" s="4" t="s">
        <v>32</v>
      </c>
      <c r="E113" s="5">
        <v>44972</v>
      </c>
      <c r="F113">
        <v>105</v>
      </c>
      <c r="G113">
        <v>3.6</v>
      </c>
      <c r="H113">
        <f>IF(MONTH(calls[[#This Row],[Date of Call]])&lt;=6, YEAR(calls[[#This Row],[Date of Call]]), YEAR(calls[[#This Row],[Date of Call]])+1)</f>
        <v>2023</v>
      </c>
      <c r="I113" t="str">
        <f>TEXT(calls[[#This Row],[Date of Call]],"DDDD")</f>
        <v>Wednesday</v>
      </c>
      <c r="J113" t="str">
        <f t="array" ref="J113">_xlfn.IFS(calls[[#This Row],[Duration]]&lt;=10,"Under 10 mins", calls[[#This Row],[Duration]]&lt;=30, "10 to 30 mins", calls[[#This Row],[Duration]]&lt;=60, "30 to 60 mins", calls[[#This Row],[Duration]]&lt;=120, "1 to 2 hours", TRUE, "More than 2 hours")</f>
        <v>10 to 30 mins</v>
      </c>
      <c r="K113">
        <f>ROUND(calls[[#This Row],[Satisfaction Rating]],0)</f>
        <v>4</v>
      </c>
    </row>
    <row r="114" spans="1:11" ht="13.8" x14ac:dyDescent="0.25">
      <c r="A114" t="s">
        <v>143</v>
      </c>
      <c r="B114" t="s">
        <v>22</v>
      </c>
      <c r="C114">
        <v>19</v>
      </c>
      <c r="D114" s="4" t="s">
        <v>23</v>
      </c>
      <c r="E114" s="5">
        <v>44972</v>
      </c>
      <c r="F114">
        <v>28</v>
      </c>
      <c r="G114">
        <v>4.9000000000000004</v>
      </c>
      <c r="H114">
        <f>IF(MONTH(calls[[#This Row],[Date of Call]])&lt;=6, YEAR(calls[[#This Row],[Date of Call]]), YEAR(calls[[#This Row],[Date of Call]])+1)</f>
        <v>2023</v>
      </c>
      <c r="I114" t="str">
        <f>TEXT(calls[[#This Row],[Date of Call]],"DDDD")</f>
        <v>Wednesday</v>
      </c>
      <c r="J114" t="str">
        <f t="array" ref="J114">_xlfn.IFS(calls[[#This Row],[Duration]]&lt;=10,"Under 10 mins", calls[[#This Row],[Duration]]&lt;=30, "10 to 30 mins", calls[[#This Row],[Duration]]&lt;=60, "30 to 60 mins", calls[[#This Row],[Duration]]&lt;=120, "1 to 2 hours", TRUE, "More than 2 hours")</f>
        <v>10 to 30 mins</v>
      </c>
      <c r="K114">
        <f>ROUND(calls[[#This Row],[Satisfaction Rating]],0)</f>
        <v>5</v>
      </c>
    </row>
    <row r="115" spans="1:11" ht="13.8" x14ac:dyDescent="0.25">
      <c r="A115" t="s">
        <v>144</v>
      </c>
      <c r="B115" t="s">
        <v>31</v>
      </c>
      <c r="C115">
        <v>38</v>
      </c>
      <c r="D115" s="4" t="s">
        <v>28</v>
      </c>
      <c r="E115" s="5">
        <v>44972</v>
      </c>
      <c r="F115">
        <v>100</v>
      </c>
      <c r="G115">
        <v>4.8</v>
      </c>
      <c r="H115">
        <f>IF(MONTH(calls[[#This Row],[Date of Call]])&lt;=6, YEAR(calls[[#This Row],[Date of Call]]), YEAR(calls[[#This Row],[Date of Call]])+1)</f>
        <v>2023</v>
      </c>
      <c r="I115" t="str">
        <f>TEXT(calls[[#This Row],[Date of Call]],"DDDD")</f>
        <v>Wednesday</v>
      </c>
      <c r="J115" t="str">
        <f t="array" ref="J115">_xlfn.IFS(calls[[#This Row],[Duration]]&lt;=10,"Under 10 mins", calls[[#This Row],[Duration]]&lt;=30, "10 to 30 mins", calls[[#This Row],[Duration]]&lt;=60, "30 to 60 mins", calls[[#This Row],[Duration]]&lt;=120, "1 to 2 hours", TRUE, "More than 2 hours")</f>
        <v>30 to 60 mins</v>
      </c>
      <c r="K115">
        <f>ROUND(calls[[#This Row],[Satisfaction Rating]],0)</f>
        <v>5</v>
      </c>
    </row>
    <row r="116" spans="1:11" ht="13.8" x14ac:dyDescent="0.25">
      <c r="A116" t="s">
        <v>145</v>
      </c>
      <c r="B116" t="s">
        <v>35</v>
      </c>
      <c r="C116">
        <v>55</v>
      </c>
      <c r="D116" s="4" t="s">
        <v>23</v>
      </c>
      <c r="E116" s="5">
        <v>44972</v>
      </c>
      <c r="F116">
        <v>23</v>
      </c>
      <c r="G116">
        <v>3.6</v>
      </c>
      <c r="H116">
        <f>IF(MONTH(calls[[#This Row],[Date of Call]])&lt;=6, YEAR(calls[[#This Row],[Date of Call]]), YEAR(calls[[#This Row],[Date of Call]])+1)</f>
        <v>2023</v>
      </c>
      <c r="I116" t="str">
        <f>TEXT(calls[[#This Row],[Date of Call]],"DDDD")</f>
        <v>Wednesday</v>
      </c>
      <c r="J116" t="str">
        <f t="array" ref="J116">_xlfn.IFS(calls[[#This Row],[Duration]]&lt;=10,"Under 10 mins", calls[[#This Row],[Duration]]&lt;=30, "10 to 30 mins", calls[[#This Row],[Duration]]&lt;=60, "30 to 60 mins", calls[[#This Row],[Duration]]&lt;=120, "1 to 2 hours", TRUE, "More than 2 hours")</f>
        <v>30 to 60 mins</v>
      </c>
      <c r="K116">
        <f>ROUND(calls[[#This Row],[Satisfaction Rating]],0)</f>
        <v>4</v>
      </c>
    </row>
    <row r="117" spans="1:11" ht="13.8" x14ac:dyDescent="0.25">
      <c r="A117" t="s">
        <v>146</v>
      </c>
      <c r="B117" t="s">
        <v>43</v>
      </c>
      <c r="C117">
        <v>27</v>
      </c>
      <c r="D117" s="4" t="s">
        <v>32</v>
      </c>
      <c r="E117" s="5">
        <v>44973</v>
      </c>
      <c r="F117">
        <v>70</v>
      </c>
      <c r="G117">
        <v>3.9</v>
      </c>
      <c r="H117">
        <f>IF(MONTH(calls[[#This Row],[Date of Call]])&lt;=6, YEAR(calls[[#This Row],[Date of Call]]), YEAR(calls[[#This Row],[Date of Call]])+1)</f>
        <v>2023</v>
      </c>
      <c r="I117" t="str">
        <f>TEXT(calls[[#This Row],[Date of Call]],"DDDD")</f>
        <v>Thursday</v>
      </c>
      <c r="J117" t="str">
        <f t="array" ref="J117">_xlfn.IFS(calls[[#This Row],[Duration]]&lt;=10,"Under 10 mins", calls[[#This Row],[Duration]]&lt;=30, "10 to 30 mins", calls[[#This Row],[Duration]]&lt;=60, "30 to 60 mins", calls[[#This Row],[Duration]]&lt;=120, "1 to 2 hours", TRUE, "More than 2 hours")</f>
        <v>10 to 30 mins</v>
      </c>
      <c r="K117">
        <f>ROUND(calls[[#This Row],[Satisfaction Rating]],0)</f>
        <v>4</v>
      </c>
    </row>
    <row r="118" spans="1:11" ht="13.8" x14ac:dyDescent="0.25">
      <c r="A118" t="s">
        <v>147</v>
      </c>
      <c r="B118" t="s">
        <v>43</v>
      </c>
      <c r="C118">
        <v>32</v>
      </c>
      <c r="D118" s="4" t="s">
        <v>32</v>
      </c>
      <c r="E118" s="5">
        <v>44973</v>
      </c>
      <c r="F118">
        <v>37</v>
      </c>
      <c r="G118">
        <v>1.9</v>
      </c>
      <c r="H118">
        <f>IF(MONTH(calls[[#This Row],[Date of Call]])&lt;=6, YEAR(calls[[#This Row],[Date of Call]]), YEAR(calls[[#This Row],[Date of Call]])+1)</f>
        <v>2023</v>
      </c>
      <c r="I118" t="str">
        <f>TEXT(calls[[#This Row],[Date of Call]],"DDDD")</f>
        <v>Thursday</v>
      </c>
      <c r="J118" t="str">
        <f t="array" ref="J118">_xlfn.IFS(calls[[#This Row],[Duration]]&lt;=10,"Under 10 mins", calls[[#This Row],[Duration]]&lt;=30, "10 to 30 mins", calls[[#This Row],[Duration]]&lt;=60, "30 to 60 mins", calls[[#This Row],[Duration]]&lt;=120, "1 to 2 hours", TRUE, "More than 2 hours")</f>
        <v>30 to 60 mins</v>
      </c>
      <c r="K118">
        <f>ROUND(calls[[#This Row],[Satisfaction Rating]],0)</f>
        <v>2</v>
      </c>
    </row>
    <row r="119" spans="1:11" ht="13.8" x14ac:dyDescent="0.25">
      <c r="A119" t="s">
        <v>148</v>
      </c>
      <c r="B119" t="s">
        <v>37</v>
      </c>
      <c r="C119">
        <v>116</v>
      </c>
      <c r="D119" s="4" t="s">
        <v>13</v>
      </c>
      <c r="E119" s="5">
        <v>44973</v>
      </c>
      <c r="F119">
        <v>140</v>
      </c>
      <c r="G119">
        <v>3.6</v>
      </c>
      <c r="H119">
        <f>IF(MONTH(calls[[#This Row],[Date of Call]])&lt;=6, YEAR(calls[[#This Row],[Date of Call]]), YEAR(calls[[#This Row],[Date of Call]])+1)</f>
        <v>2023</v>
      </c>
      <c r="I119" t="str">
        <f>TEXT(calls[[#This Row],[Date of Call]],"DDDD")</f>
        <v>Thursday</v>
      </c>
      <c r="J119" t="str">
        <f t="array" ref="J119">_xlfn.IFS(calls[[#This Row],[Duration]]&lt;=10,"Under 10 mins", calls[[#This Row],[Duration]]&lt;=30, "10 to 30 mins", calls[[#This Row],[Duration]]&lt;=60, "30 to 60 mins", calls[[#This Row],[Duration]]&lt;=120, "1 to 2 hours", TRUE, "More than 2 hours")</f>
        <v>1 to 2 hours</v>
      </c>
      <c r="K119">
        <f>ROUND(calls[[#This Row],[Satisfaction Rating]],0)</f>
        <v>4</v>
      </c>
    </row>
    <row r="120" spans="1:11" ht="13.8" x14ac:dyDescent="0.25">
      <c r="A120" t="s">
        <v>149</v>
      </c>
      <c r="B120" t="s">
        <v>12</v>
      </c>
      <c r="C120">
        <v>99</v>
      </c>
      <c r="D120" s="4" t="s">
        <v>18</v>
      </c>
      <c r="E120" s="5">
        <v>44973</v>
      </c>
      <c r="F120">
        <v>78</v>
      </c>
      <c r="G120">
        <v>4.0999999999999996</v>
      </c>
      <c r="H120">
        <f>IF(MONTH(calls[[#This Row],[Date of Call]])&lt;=6, YEAR(calls[[#This Row],[Date of Call]]), YEAR(calls[[#This Row],[Date of Call]])+1)</f>
        <v>2023</v>
      </c>
      <c r="I120" t="str">
        <f>TEXT(calls[[#This Row],[Date of Call]],"DDDD")</f>
        <v>Thursday</v>
      </c>
      <c r="J120" t="str">
        <f t="array" ref="J120">_xlfn.IFS(calls[[#This Row],[Duration]]&lt;=10,"Under 10 mins", calls[[#This Row],[Duration]]&lt;=30, "10 to 30 mins", calls[[#This Row],[Duration]]&lt;=60, "30 to 60 mins", calls[[#This Row],[Duration]]&lt;=120, "1 to 2 hours", TRUE, "More than 2 hours")</f>
        <v>1 to 2 hours</v>
      </c>
      <c r="K120">
        <f>ROUND(calls[[#This Row],[Satisfaction Rating]],0)</f>
        <v>4</v>
      </c>
    </row>
    <row r="121" spans="1:11" ht="13.8" x14ac:dyDescent="0.25">
      <c r="A121" t="s">
        <v>150</v>
      </c>
      <c r="B121" t="s">
        <v>15</v>
      </c>
      <c r="C121">
        <v>75</v>
      </c>
      <c r="D121" s="4" t="s">
        <v>32</v>
      </c>
      <c r="E121" s="5">
        <v>44974</v>
      </c>
      <c r="F121">
        <v>21</v>
      </c>
      <c r="G121">
        <v>4.2</v>
      </c>
      <c r="H121">
        <f>IF(MONTH(calls[[#This Row],[Date of Call]])&lt;=6, YEAR(calls[[#This Row],[Date of Call]]), YEAR(calls[[#This Row],[Date of Call]])+1)</f>
        <v>2023</v>
      </c>
      <c r="I121" t="str">
        <f>TEXT(calls[[#This Row],[Date of Call]],"DDDD")</f>
        <v>Friday</v>
      </c>
      <c r="J121" t="str">
        <f t="array" ref="J121">_xlfn.IFS(calls[[#This Row],[Duration]]&lt;=10,"Under 10 mins", calls[[#This Row],[Duration]]&lt;=30, "10 to 30 mins", calls[[#This Row],[Duration]]&lt;=60, "30 to 60 mins", calls[[#This Row],[Duration]]&lt;=120, "1 to 2 hours", TRUE, "More than 2 hours")</f>
        <v>1 to 2 hours</v>
      </c>
      <c r="K121">
        <f>ROUND(calls[[#This Row],[Satisfaction Rating]],0)</f>
        <v>4</v>
      </c>
    </row>
    <row r="122" spans="1:11" ht="13.8" x14ac:dyDescent="0.25">
      <c r="A122" t="s">
        <v>151</v>
      </c>
      <c r="B122" t="s">
        <v>17</v>
      </c>
      <c r="C122">
        <v>57</v>
      </c>
      <c r="D122" s="4" t="s">
        <v>13</v>
      </c>
      <c r="E122" s="5">
        <v>44974</v>
      </c>
      <c r="F122">
        <v>88</v>
      </c>
      <c r="G122">
        <v>4.3</v>
      </c>
      <c r="H122">
        <f>IF(MONTH(calls[[#This Row],[Date of Call]])&lt;=6, YEAR(calls[[#This Row],[Date of Call]]), YEAR(calls[[#This Row],[Date of Call]])+1)</f>
        <v>2023</v>
      </c>
      <c r="I122" t="str">
        <f>TEXT(calls[[#This Row],[Date of Call]],"DDDD")</f>
        <v>Friday</v>
      </c>
      <c r="J122" t="str">
        <f t="array" ref="J122">_xlfn.IFS(calls[[#This Row],[Duration]]&lt;=10,"Under 10 mins", calls[[#This Row],[Duration]]&lt;=30, "10 to 30 mins", calls[[#This Row],[Duration]]&lt;=60, "30 to 60 mins", calls[[#This Row],[Duration]]&lt;=120, "1 to 2 hours", TRUE, "More than 2 hours")</f>
        <v>30 to 60 mins</v>
      </c>
      <c r="K122">
        <f>ROUND(calls[[#This Row],[Satisfaction Rating]],0)</f>
        <v>4</v>
      </c>
    </row>
    <row r="123" spans="1:11" ht="13.8" x14ac:dyDescent="0.25">
      <c r="A123" t="s">
        <v>152</v>
      </c>
      <c r="B123" t="s">
        <v>26</v>
      </c>
      <c r="C123">
        <v>155</v>
      </c>
      <c r="D123" s="4" t="s">
        <v>13</v>
      </c>
      <c r="E123" s="5">
        <v>44975</v>
      </c>
      <c r="F123">
        <v>180</v>
      </c>
      <c r="G123">
        <v>2.2000000000000002</v>
      </c>
      <c r="H123">
        <f>IF(MONTH(calls[[#This Row],[Date of Call]])&lt;=6, YEAR(calls[[#This Row],[Date of Call]]), YEAR(calls[[#This Row],[Date of Call]])+1)</f>
        <v>2023</v>
      </c>
      <c r="I123" t="str">
        <f>TEXT(calls[[#This Row],[Date of Call]],"DDDD")</f>
        <v>Saturday</v>
      </c>
      <c r="J123" t="str">
        <f t="array" ref="J123">_xlfn.IFS(calls[[#This Row],[Duration]]&lt;=10,"Under 10 mins", calls[[#This Row],[Duration]]&lt;=30, "10 to 30 mins", calls[[#This Row],[Duration]]&lt;=60, "30 to 60 mins", calls[[#This Row],[Duration]]&lt;=120, "1 to 2 hours", TRUE, "More than 2 hours")</f>
        <v>More than 2 hours</v>
      </c>
      <c r="K123">
        <f>ROUND(calls[[#This Row],[Satisfaction Rating]],0)</f>
        <v>2</v>
      </c>
    </row>
    <row r="124" spans="1:11" ht="13.8" x14ac:dyDescent="0.25">
      <c r="A124" t="s">
        <v>153</v>
      </c>
      <c r="B124" t="s">
        <v>12</v>
      </c>
      <c r="C124">
        <v>68</v>
      </c>
      <c r="D124" s="4" t="s">
        <v>18</v>
      </c>
      <c r="E124" s="5">
        <v>44975</v>
      </c>
      <c r="F124">
        <v>22</v>
      </c>
      <c r="G124">
        <v>3.3</v>
      </c>
      <c r="H124">
        <f>IF(MONTH(calls[[#This Row],[Date of Call]])&lt;=6, YEAR(calls[[#This Row],[Date of Call]]), YEAR(calls[[#This Row],[Date of Call]])+1)</f>
        <v>2023</v>
      </c>
      <c r="I124" t="str">
        <f>TEXT(calls[[#This Row],[Date of Call]],"DDDD")</f>
        <v>Saturday</v>
      </c>
      <c r="J124" t="str">
        <f t="array" ref="J124">_xlfn.IFS(calls[[#This Row],[Duration]]&lt;=10,"Under 10 mins", calls[[#This Row],[Duration]]&lt;=30, "10 to 30 mins", calls[[#This Row],[Duration]]&lt;=60, "30 to 60 mins", calls[[#This Row],[Duration]]&lt;=120, "1 to 2 hours", TRUE, "More than 2 hours")</f>
        <v>1 to 2 hours</v>
      </c>
      <c r="K124">
        <f>ROUND(calls[[#This Row],[Satisfaction Rating]],0)</f>
        <v>3</v>
      </c>
    </row>
    <row r="125" spans="1:11" ht="13.8" x14ac:dyDescent="0.25">
      <c r="A125" t="s">
        <v>154</v>
      </c>
      <c r="B125" t="s">
        <v>31</v>
      </c>
      <c r="C125">
        <v>95</v>
      </c>
      <c r="D125" s="4" t="s">
        <v>18</v>
      </c>
      <c r="E125" s="5">
        <v>44975</v>
      </c>
      <c r="F125">
        <v>52</v>
      </c>
      <c r="G125">
        <v>4.8</v>
      </c>
      <c r="H125">
        <f>IF(MONTH(calls[[#This Row],[Date of Call]])&lt;=6, YEAR(calls[[#This Row],[Date of Call]]), YEAR(calls[[#This Row],[Date of Call]])+1)</f>
        <v>2023</v>
      </c>
      <c r="I125" t="str">
        <f>TEXT(calls[[#This Row],[Date of Call]],"DDDD")</f>
        <v>Saturday</v>
      </c>
      <c r="J125" t="str">
        <f t="array" ref="J125">_xlfn.IFS(calls[[#This Row],[Duration]]&lt;=10,"Under 10 mins", calls[[#This Row],[Duration]]&lt;=30, "10 to 30 mins", calls[[#This Row],[Duration]]&lt;=60, "30 to 60 mins", calls[[#This Row],[Duration]]&lt;=120, "1 to 2 hours", TRUE, "More than 2 hours")</f>
        <v>1 to 2 hours</v>
      </c>
      <c r="K125">
        <f>ROUND(calls[[#This Row],[Satisfaction Rating]],0)</f>
        <v>5</v>
      </c>
    </row>
    <row r="126" spans="1:11" ht="13.8" x14ac:dyDescent="0.25">
      <c r="A126" t="s">
        <v>155</v>
      </c>
      <c r="B126" t="s">
        <v>51</v>
      </c>
      <c r="C126">
        <v>65</v>
      </c>
      <c r="D126" s="4" t="s">
        <v>13</v>
      </c>
      <c r="E126" s="5">
        <v>44976</v>
      </c>
      <c r="F126">
        <v>80</v>
      </c>
      <c r="G126">
        <v>4</v>
      </c>
      <c r="H126">
        <f>IF(MONTH(calls[[#This Row],[Date of Call]])&lt;=6, YEAR(calls[[#This Row],[Date of Call]]), YEAR(calls[[#This Row],[Date of Call]])+1)</f>
        <v>2023</v>
      </c>
      <c r="I126" t="str">
        <f>TEXT(calls[[#This Row],[Date of Call]],"DDDD")</f>
        <v>Sunday</v>
      </c>
      <c r="J126" t="str">
        <f t="array" ref="J126">_xlfn.IFS(calls[[#This Row],[Duration]]&lt;=10,"Under 10 mins", calls[[#This Row],[Duration]]&lt;=30, "10 to 30 mins", calls[[#This Row],[Duration]]&lt;=60, "30 to 60 mins", calls[[#This Row],[Duration]]&lt;=120, "1 to 2 hours", TRUE, "More than 2 hours")</f>
        <v>1 to 2 hours</v>
      </c>
      <c r="K126">
        <f>ROUND(calls[[#This Row],[Satisfaction Rating]],0)</f>
        <v>4</v>
      </c>
    </row>
    <row r="127" spans="1:11" ht="13.8" x14ac:dyDescent="0.25">
      <c r="A127" t="s">
        <v>156</v>
      </c>
      <c r="B127" t="s">
        <v>22</v>
      </c>
      <c r="C127">
        <v>114</v>
      </c>
      <c r="D127" s="4" t="s">
        <v>23</v>
      </c>
      <c r="E127" s="5">
        <v>44976</v>
      </c>
      <c r="F127">
        <v>54</v>
      </c>
      <c r="G127">
        <v>1.1000000000000001</v>
      </c>
      <c r="H127">
        <f>IF(MONTH(calls[[#This Row],[Date of Call]])&lt;=6, YEAR(calls[[#This Row],[Date of Call]]), YEAR(calls[[#This Row],[Date of Call]])+1)</f>
        <v>2023</v>
      </c>
      <c r="I127" t="str">
        <f>TEXT(calls[[#This Row],[Date of Call]],"DDDD")</f>
        <v>Sunday</v>
      </c>
      <c r="J127" t="str">
        <f t="array" ref="J127">_xlfn.IFS(calls[[#This Row],[Duration]]&lt;=10,"Under 10 mins", calls[[#This Row],[Duration]]&lt;=30, "10 to 30 mins", calls[[#This Row],[Duration]]&lt;=60, "30 to 60 mins", calls[[#This Row],[Duration]]&lt;=120, "1 to 2 hours", TRUE, "More than 2 hours")</f>
        <v>1 to 2 hours</v>
      </c>
      <c r="K127">
        <f>ROUND(calls[[#This Row],[Satisfaction Rating]],0)</f>
        <v>1</v>
      </c>
    </row>
    <row r="128" spans="1:11" ht="13.8" x14ac:dyDescent="0.25">
      <c r="A128" t="s">
        <v>157</v>
      </c>
      <c r="B128" t="s">
        <v>15</v>
      </c>
      <c r="C128">
        <v>155</v>
      </c>
      <c r="D128" s="4" t="s">
        <v>23</v>
      </c>
      <c r="E128" s="5">
        <v>44977</v>
      </c>
      <c r="F128">
        <v>80</v>
      </c>
      <c r="G128">
        <v>3.9</v>
      </c>
      <c r="H128">
        <f>IF(MONTH(calls[[#This Row],[Date of Call]])&lt;=6, YEAR(calls[[#This Row],[Date of Call]]), YEAR(calls[[#This Row],[Date of Call]])+1)</f>
        <v>2023</v>
      </c>
      <c r="I128" t="str">
        <f>TEXT(calls[[#This Row],[Date of Call]],"DDDD")</f>
        <v>Monday</v>
      </c>
      <c r="J128" t="str">
        <f t="array" ref="J128">_xlfn.IFS(calls[[#This Row],[Duration]]&lt;=10,"Under 10 mins", calls[[#This Row],[Duration]]&lt;=30, "10 to 30 mins", calls[[#This Row],[Duration]]&lt;=60, "30 to 60 mins", calls[[#This Row],[Duration]]&lt;=120, "1 to 2 hours", TRUE, "More than 2 hours")</f>
        <v>More than 2 hours</v>
      </c>
      <c r="K128">
        <f>ROUND(calls[[#This Row],[Satisfaction Rating]],0)</f>
        <v>4</v>
      </c>
    </row>
    <row r="129" spans="1:11" ht="13.8" x14ac:dyDescent="0.25">
      <c r="A129" t="s">
        <v>158</v>
      </c>
      <c r="B129" t="s">
        <v>51</v>
      </c>
      <c r="C129">
        <v>114</v>
      </c>
      <c r="D129" s="4" t="s">
        <v>13</v>
      </c>
      <c r="E129" s="5">
        <v>44978</v>
      </c>
      <c r="F129">
        <v>120</v>
      </c>
      <c r="G129">
        <v>1.8</v>
      </c>
      <c r="H129">
        <f>IF(MONTH(calls[[#This Row],[Date of Call]])&lt;=6, YEAR(calls[[#This Row],[Date of Call]]), YEAR(calls[[#This Row],[Date of Call]])+1)</f>
        <v>2023</v>
      </c>
      <c r="I129" t="str">
        <f>TEXT(calls[[#This Row],[Date of Call]],"DDDD")</f>
        <v>Tuesday</v>
      </c>
      <c r="J129" t="str">
        <f t="array" ref="J129">_xlfn.IFS(calls[[#This Row],[Duration]]&lt;=10,"Under 10 mins", calls[[#This Row],[Duration]]&lt;=30, "10 to 30 mins", calls[[#This Row],[Duration]]&lt;=60, "30 to 60 mins", calls[[#This Row],[Duration]]&lt;=120, "1 to 2 hours", TRUE, "More than 2 hours")</f>
        <v>1 to 2 hours</v>
      </c>
      <c r="K129">
        <f>ROUND(calls[[#This Row],[Satisfaction Rating]],0)</f>
        <v>2</v>
      </c>
    </row>
    <row r="130" spans="1:11" ht="13.8" x14ac:dyDescent="0.25">
      <c r="A130" t="s">
        <v>159</v>
      </c>
      <c r="B130" t="s">
        <v>26</v>
      </c>
      <c r="C130">
        <v>130</v>
      </c>
      <c r="D130" s="4" t="s">
        <v>28</v>
      </c>
      <c r="E130" s="5">
        <v>44978</v>
      </c>
      <c r="F130">
        <v>150</v>
      </c>
      <c r="G130">
        <v>1</v>
      </c>
      <c r="H130">
        <f>IF(MONTH(calls[[#This Row],[Date of Call]])&lt;=6, YEAR(calls[[#This Row],[Date of Call]]), YEAR(calls[[#This Row],[Date of Call]])+1)</f>
        <v>2023</v>
      </c>
      <c r="I130" t="str">
        <f>TEXT(calls[[#This Row],[Date of Call]],"DDDD")</f>
        <v>Tuesday</v>
      </c>
      <c r="J130" t="str">
        <f t="array" ref="J130">_xlfn.IFS(calls[[#This Row],[Duration]]&lt;=10,"Under 10 mins", calls[[#This Row],[Duration]]&lt;=30, "10 to 30 mins", calls[[#This Row],[Duration]]&lt;=60, "30 to 60 mins", calls[[#This Row],[Duration]]&lt;=120, "1 to 2 hours", TRUE, "More than 2 hours")</f>
        <v>More than 2 hours</v>
      </c>
      <c r="K130">
        <f>ROUND(calls[[#This Row],[Satisfaction Rating]],0)</f>
        <v>1</v>
      </c>
    </row>
    <row r="131" spans="1:11" ht="13.8" x14ac:dyDescent="0.25">
      <c r="A131" t="s">
        <v>160</v>
      </c>
      <c r="B131" t="s">
        <v>15</v>
      </c>
      <c r="C131">
        <v>89</v>
      </c>
      <c r="D131" s="4" t="s">
        <v>13</v>
      </c>
      <c r="E131" s="5">
        <v>44978</v>
      </c>
      <c r="F131">
        <v>90</v>
      </c>
      <c r="G131">
        <v>4.3</v>
      </c>
      <c r="H131">
        <f>IF(MONTH(calls[[#This Row],[Date of Call]])&lt;=6, YEAR(calls[[#This Row],[Date of Call]]), YEAR(calls[[#This Row],[Date of Call]])+1)</f>
        <v>2023</v>
      </c>
      <c r="I131" t="str">
        <f>TEXT(calls[[#This Row],[Date of Call]],"DDDD")</f>
        <v>Tuesday</v>
      </c>
      <c r="J131" t="str">
        <f t="array" ref="J131">_xlfn.IFS(calls[[#This Row],[Duration]]&lt;=10,"Under 10 mins", calls[[#This Row],[Duration]]&lt;=30, "10 to 30 mins", calls[[#This Row],[Duration]]&lt;=60, "30 to 60 mins", calls[[#This Row],[Duration]]&lt;=120, "1 to 2 hours", TRUE, "More than 2 hours")</f>
        <v>1 to 2 hours</v>
      </c>
      <c r="K131">
        <f>ROUND(calls[[#This Row],[Satisfaction Rating]],0)</f>
        <v>4</v>
      </c>
    </row>
    <row r="132" spans="1:11" ht="13.8" x14ac:dyDescent="0.25">
      <c r="A132" t="s">
        <v>161</v>
      </c>
      <c r="B132" t="s">
        <v>64</v>
      </c>
      <c r="C132">
        <v>61</v>
      </c>
      <c r="D132" s="4" t="s">
        <v>32</v>
      </c>
      <c r="E132" s="5">
        <v>44979</v>
      </c>
      <c r="F132">
        <v>140</v>
      </c>
      <c r="G132">
        <v>3.4</v>
      </c>
      <c r="H132">
        <f>IF(MONTH(calls[[#This Row],[Date of Call]])&lt;=6, YEAR(calls[[#This Row],[Date of Call]]), YEAR(calls[[#This Row],[Date of Call]])+1)</f>
        <v>2023</v>
      </c>
      <c r="I132" t="str">
        <f>TEXT(calls[[#This Row],[Date of Call]],"DDDD")</f>
        <v>Wednesday</v>
      </c>
      <c r="J132" t="str">
        <f t="array" ref="J132">_xlfn.IFS(calls[[#This Row],[Duration]]&lt;=10,"Under 10 mins", calls[[#This Row],[Duration]]&lt;=30, "10 to 30 mins", calls[[#This Row],[Duration]]&lt;=60, "30 to 60 mins", calls[[#This Row],[Duration]]&lt;=120, "1 to 2 hours", TRUE, "More than 2 hours")</f>
        <v>1 to 2 hours</v>
      </c>
      <c r="K132">
        <f>ROUND(calls[[#This Row],[Satisfaction Rating]],0)</f>
        <v>3</v>
      </c>
    </row>
    <row r="133" spans="1:11" ht="13.8" x14ac:dyDescent="0.25">
      <c r="A133" t="s">
        <v>162</v>
      </c>
      <c r="B133" t="s">
        <v>31</v>
      </c>
      <c r="C133">
        <v>154</v>
      </c>
      <c r="D133" s="4" t="s">
        <v>23</v>
      </c>
      <c r="E133" s="5">
        <v>44979</v>
      </c>
      <c r="F133">
        <v>22</v>
      </c>
      <c r="G133">
        <v>3.4</v>
      </c>
      <c r="H133">
        <f>IF(MONTH(calls[[#This Row],[Date of Call]])&lt;=6, YEAR(calls[[#This Row],[Date of Call]]), YEAR(calls[[#This Row],[Date of Call]])+1)</f>
        <v>2023</v>
      </c>
      <c r="I133" t="str">
        <f>TEXT(calls[[#This Row],[Date of Call]],"DDDD")</f>
        <v>Wednesday</v>
      </c>
      <c r="J133" t="str">
        <f t="array" ref="J133">_xlfn.IFS(calls[[#This Row],[Duration]]&lt;=10,"Under 10 mins", calls[[#This Row],[Duration]]&lt;=30, "10 to 30 mins", calls[[#This Row],[Duration]]&lt;=60, "30 to 60 mins", calls[[#This Row],[Duration]]&lt;=120, "1 to 2 hours", TRUE, "More than 2 hours")</f>
        <v>More than 2 hours</v>
      </c>
      <c r="K133">
        <f>ROUND(calls[[#This Row],[Satisfaction Rating]],0)</f>
        <v>3</v>
      </c>
    </row>
    <row r="134" spans="1:11" ht="13.8" x14ac:dyDescent="0.25">
      <c r="A134" t="s">
        <v>163</v>
      </c>
      <c r="B134" t="s">
        <v>51</v>
      </c>
      <c r="C134">
        <v>115</v>
      </c>
      <c r="D134" s="4" t="s">
        <v>28</v>
      </c>
      <c r="E134" s="5">
        <v>44980</v>
      </c>
      <c r="F134">
        <v>150</v>
      </c>
      <c r="G134">
        <v>4.0999999999999996</v>
      </c>
      <c r="H134">
        <f>IF(MONTH(calls[[#This Row],[Date of Call]])&lt;=6, YEAR(calls[[#This Row],[Date of Call]]), YEAR(calls[[#This Row],[Date of Call]])+1)</f>
        <v>2023</v>
      </c>
      <c r="I134" t="str">
        <f>TEXT(calls[[#This Row],[Date of Call]],"DDDD")</f>
        <v>Thursday</v>
      </c>
      <c r="J134" t="str">
        <f t="array" ref="J134">_xlfn.IFS(calls[[#This Row],[Duration]]&lt;=10,"Under 10 mins", calls[[#This Row],[Duration]]&lt;=30, "10 to 30 mins", calls[[#This Row],[Duration]]&lt;=60, "30 to 60 mins", calls[[#This Row],[Duration]]&lt;=120, "1 to 2 hours", TRUE, "More than 2 hours")</f>
        <v>1 to 2 hours</v>
      </c>
      <c r="K134">
        <f>ROUND(calls[[#This Row],[Satisfaction Rating]],0)</f>
        <v>4</v>
      </c>
    </row>
    <row r="135" spans="1:11" ht="13.8" x14ac:dyDescent="0.25">
      <c r="A135" t="s">
        <v>164</v>
      </c>
      <c r="B135" t="s">
        <v>84</v>
      </c>
      <c r="C135">
        <v>138</v>
      </c>
      <c r="D135" s="4" t="s">
        <v>18</v>
      </c>
      <c r="E135" s="5">
        <v>44981</v>
      </c>
      <c r="F135">
        <v>35</v>
      </c>
      <c r="G135">
        <v>4.8</v>
      </c>
      <c r="H135">
        <f>IF(MONTH(calls[[#This Row],[Date of Call]])&lt;=6, YEAR(calls[[#This Row],[Date of Call]]), YEAR(calls[[#This Row],[Date of Call]])+1)</f>
        <v>2023</v>
      </c>
      <c r="I135" t="str">
        <f>TEXT(calls[[#This Row],[Date of Call]],"DDDD")</f>
        <v>Friday</v>
      </c>
      <c r="J135" t="str">
        <f t="array" ref="J135">_xlfn.IFS(calls[[#This Row],[Duration]]&lt;=10,"Under 10 mins", calls[[#This Row],[Duration]]&lt;=30, "10 to 30 mins", calls[[#This Row],[Duration]]&lt;=60, "30 to 60 mins", calls[[#This Row],[Duration]]&lt;=120, "1 to 2 hours", TRUE, "More than 2 hours")</f>
        <v>More than 2 hours</v>
      </c>
      <c r="K135">
        <f>ROUND(calls[[#This Row],[Satisfaction Rating]],0)</f>
        <v>5</v>
      </c>
    </row>
    <row r="136" spans="1:11" ht="13.8" x14ac:dyDescent="0.25">
      <c r="A136" t="s">
        <v>165</v>
      </c>
      <c r="B136" t="s">
        <v>20</v>
      </c>
      <c r="C136">
        <v>153</v>
      </c>
      <c r="D136" s="4" t="s">
        <v>13</v>
      </c>
      <c r="E136" s="5">
        <v>44981</v>
      </c>
      <c r="F136">
        <v>200</v>
      </c>
      <c r="G136">
        <v>2</v>
      </c>
      <c r="H136">
        <f>IF(MONTH(calls[[#This Row],[Date of Call]])&lt;=6, YEAR(calls[[#This Row],[Date of Call]]), YEAR(calls[[#This Row],[Date of Call]])+1)</f>
        <v>2023</v>
      </c>
      <c r="I136" t="str">
        <f>TEXT(calls[[#This Row],[Date of Call]],"DDDD")</f>
        <v>Friday</v>
      </c>
      <c r="J136" t="str">
        <f t="array" ref="J136">_xlfn.IFS(calls[[#This Row],[Duration]]&lt;=10,"Under 10 mins", calls[[#This Row],[Duration]]&lt;=30, "10 to 30 mins", calls[[#This Row],[Duration]]&lt;=60, "30 to 60 mins", calls[[#This Row],[Duration]]&lt;=120, "1 to 2 hours", TRUE, "More than 2 hours")</f>
        <v>More than 2 hours</v>
      </c>
      <c r="K136">
        <f>ROUND(calls[[#This Row],[Satisfaction Rating]],0)</f>
        <v>2</v>
      </c>
    </row>
    <row r="137" spans="1:11" ht="13.8" x14ac:dyDescent="0.25">
      <c r="A137" t="s">
        <v>166</v>
      </c>
      <c r="B137" t="s">
        <v>51</v>
      </c>
      <c r="C137">
        <v>61</v>
      </c>
      <c r="D137" s="4" t="s">
        <v>32</v>
      </c>
      <c r="E137" s="5">
        <v>44982</v>
      </c>
      <c r="F137">
        <v>150</v>
      </c>
      <c r="G137">
        <v>4.5999999999999996</v>
      </c>
      <c r="H137">
        <f>IF(MONTH(calls[[#This Row],[Date of Call]])&lt;=6, YEAR(calls[[#This Row],[Date of Call]]), YEAR(calls[[#This Row],[Date of Call]])+1)</f>
        <v>2023</v>
      </c>
      <c r="I137" t="str">
        <f>TEXT(calls[[#This Row],[Date of Call]],"DDDD")</f>
        <v>Saturday</v>
      </c>
      <c r="J137" t="str">
        <f t="array" ref="J137">_xlfn.IFS(calls[[#This Row],[Duration]]&lt;=10,"Under 10 mins", calls[[#This Row],[Duration]]&lt;=30, "10 to 30 mins", calls[[#This Row],[Duration]]&lt;=60, "30 to 60 mins", calls[[#This Row],[Duration]]&lt;=120, "1 to 2 hours", TRUE, "More than 2 hours")</f>
        <v>1 to 2 hours</v>
      </c>
      <c r="K137">
        <f>ROUND(calls[[#This Row],[Satisfaction Rating]],0)</f>
        <v>5</v>
      </c>
    </row>
    <row r="138" spans="1:11" ht="13.8" x14ac:dyDescent="0.25">
      <c r="A138" t="s">
        <v>167</v>
      </c>
      <c r="B138" t="s">
        <v>43</v>
      </c>
      <c r="C138">
        <v>62</v>
      </c>
      <c r="D138" s="4" t="s">
        <v>13</v>
      </c>
      <c r="E138" s="5">
        <v>44982</v>
      </c>
      <c r="F138">
        <v>21</v>
      </c>
      <c r="G138">
        <v>2.6</v>
      </c>
      <c r="H138">
        <f>IF(MONTH(calls[[#This Row],[Date of Call]])&lt;=6, YEAR(calls[[#This Row],[Date of Call]]), YEAR(calls[[#This Row],[Date of Call]])+1)</f>
        <v>2023</v>
      </c>
      <c r="I138" t="str">
        <f>TEXT(calls[[#This Row],[Date of Call]],"DDDD")</f>
        <v>Saturday</v>
      </c>
      <c r="J138" t="str">
        <f t="array" ref="J138">_xlfn.IFS(calls[[#This Row],[Duration]]&lt;=10,"Under 10 mins", calls[[#This Row],[Duration]]&lt;=30, "10 to 30 mins", calls[[#This Row],[Duration]]&lt;=60, "30 to 60 mins", calls[[#This Row],[Duration]]&lt;=120, "1 to 2 hours", TRUE, "More than 2 hours")</f>
        <v>1 to 2 hours</v>
      </c>
      <c r="K138">
        <f>ROUND(calls[[#This Row],[Satisfaction Rating]],0)</f>
        <v>3</v>
      </c>
    </row>
    <row r="139" spans="1:11" ht="13.8" x14ac:dyDescent="0.25">
      <c r="A139" t="s">
        <v>168</v>
      </c>
      <c r="B139" t="s">
        <v>64</v>
      </c>
      <c r="C139">
        <v>151</v>
      </c>
      <c r="D139" s="4" t="s">
        <v>28</v>
      </c>
      <c r="E139" s="5">
        <v>44983</v>
      </c>
      <c r="F139">
        <v>46</v>
      </c>
      <c r="G139">
        <v>4.9000000000000004</v>
      </c>
      <c r="H139">
        <f>IF(MONTH(calls[[#This Row],[Date of Call]])&lt;=6, YEAR(calls[[#This Row],[Date of Call]]), YEAR(calls[[#This Row],[Date of Call]])+1)</f>
        <v>2023</v>
      </c>
      <c r="I139" t="str">
        <f>TEXT(calls[[#This Row],[Date of Call]],"DDDD")</f>
        <v>Sunday</v>
      </c>
      <c r="J139" t="str">
        <f t="array" ref="J139">_xlfn.IFS(calls[[#This Row],[Duration]]&lt;=10,"Under 10 mins", calls[[#This Row],[Duration]]&lt;=30, "10 to 30 mins", calls[[#This Row],[Duration]]&lt;=60, "30 to 60 mins", calls[[#This Row],[Duration]]&lt;=120, "1 to 2 hours", TRUE, "More than 2 hours")</f>
        <v>More than 2 hours</v>
      </c>
      <c r="K139">
        <f>ROUND(calls[[#This Row],[Satisfaction Rating]],0)</f>
        <v>5</v>
      </c>
    </row>
    <row r="140" spans="1:11" ht="13.8" x14ac:dyDescent="0.25">
      <c r="A140" t="s">
        <v>169</v>
      </c>
      <c r="B140" t="s">
        <v>54</v>
      </c>
      <c r="C140">
        <v>102</v>
      </c>
      <c r="D140" s="4" t="s">
        <v>23</v>
      </c>
      <c r="E140" s="5">
        <v>44983</v>
      </c>
      <c r="F140">
        <v>165</v>
      </c>
      <c r="G140">
        <v>2.7</v>
      </c>
      <c r="H140">
        <f>IF(MONTH(calls[[#This Row],[Date of Call]])&lt;=6, YEAR(calls[[#This Row],[Date of Call]]), YEAR(calls[[#This Row],[Date of Call]])+1)</f>
        <v>2023</v>
      </c>
      <c r="I140" t="str">
        <f>TEXT(calls[[#This Row],[Date of Call]],"DDDD")</f>
        <v>Sunday</v>
      </c>
      <c r="J140" t="str">
        <f t="array" ref="J140">_xlfn.IFS(calls[[#This Row],[Duration]]&lt;=10,"Under 10 mins", calls[[#This Row],[Duration]]&lt;=30, "10 to 30 mins", calls[[#This Row],[Duration]]&lt;=60, "30 to 60 mins", calls[[#This Row],[Duration]]&lt;=120, "1 to 2 hours", TRUE, "More than 2 hours")</f>
        <v>1 to 2 hours</v>
      </c>
      <c r="K140">
        <f>ROUND(calls[[#This Row],[Satisfaction Rating]],0)</f>
        <v>3</v>
      </c>
    </row>
    <row r="141" spans="1:11" ht="13.8" x14ac:dyDescent="0.25">
      <c r="A141" t="s">
        <v>170</v>
      </c>
      <c r="B141" t="s">
        <v>46</v>
      </c>
      <c r="C141">
        <v>64</v>
      </c>
      <c r="D141" s="4" t="s">
        <v>13</v>
      </c>
      <c r="E141" s="5">
        <v>44983</v>
      </c>
      <c r="F141">
        <v>84</v>
      </c>
      <c r="G141">
        <v>4.0999999999999996</v>
      </c>
      <c r="H141">
        <f>IF(MONTH(calls[[#This Row],[Date of Call]])&lt;=6, YEAR(calls[[#This Row],[Date of Call]]), YEAR(calls[[#This Row],[Date of Call]])+1)</f>
        <v>2023</v>
      </c>
      <c r="I141" t="str">
        <f>TEXT(calls[[#This Row],[Date of Call]],"DDDD")</f>
        <v>Sunday</v>
      </c>
      <c r="J141" t="str">
        <f t="array" ref="J141">_xlfn.IFS(calls[[#This Row],[Duration]]&lt;=10,"Under 10 mins", calls[[#This Row],[Duration]]&lt;=30, "10 to 30 mins", calls[[#This Row],[Duration]]&lt;=60, "30 to 60 mins", calls[[#This Row],[Duration]]&lt;=120, "1 to 2 hours", TRUE, "More than 2 hours")</f>
        <v>1 to 2 hours</v>
      </c>
      <c r="K141">
        <f>ROUND(calls[[#This Row],[Satisfaction Rating]],0)</f>
        <v>4</v>
      </c>
    </row>
    <row r="142" spans="1:11" ht="13.8" x14ac:dyDescent="0.25">
      <c r="A142" t="s">
        <v>171</v>
      </c>
      <c r="B142" t="s">
        <v>15</v>
      </c>
      <c r="C142">
        <v>6</v>
      </c>
      <c r="D142" s="4" t="s">
        <v>23</v>
      </c>
      <c r="E142" s="5">
        <v>44984</v>
      </c>
      <c r="F142">
        <v>102</v>
      </c>
      <c r="G142">
        <v>4.4000000000000004</v>
      </c>
      <c r="H142">
        <f>IF(MONTH(calls[[#This Row],[Date of Call]])&lt;=6, YEAR(calls[[#This Row],[Date of Call]]), YEAR(calls[[#This Row],[Date of Call]])+1)</f>
        <v>2023</v>
      </c>
      <c r="I142" t="str">
        <f>TEXT(calls[[#This Row],[Date of Call]],"DDDD")</f>
        <v>Monday</v>
      </c>
      <c r="J142" t="str">
        <f t="array" ref="J142">_xlfn.IFS(calls[[#This Row],[Duration]]&lt;=10,"Under 10 mins", calls[[#This Row],[Duration]]&lt;=30, "10 to 30 mins", calls[[#This Row],[Duration]]&lt;=60, "30 to 60 mins", calls[[#This Row],[Duration]]&lt;=120, "1 to 2 hours", TRUE, "More than 2 hours")</f>
        <v>Under 10 mins</v>
      </c>
      <c r="K142">
        <f>ROUND(calls[[#This Row],[Satisfaction Rating]],0)</f>
        <v>4</v>
      </c>
    </row>
    <row r="143" spans="1:11" ht="13.8" x14ac:dyDescent="0.25">
      <c r="A143" t="s">
        <v>172</v>
      </c>
      <c r="B143" t="s">
        <v>46</v>
      </c>
      <c r="C143">
        <v>129</v>
      </c>
      <c r="D143" s="4" t="s">
        <v>13</v>
      </c>
      <c r="E143" s="5">
        <v>44984</v>
      </c>
      <c r="F143">
        <v>180</v>
      </c>
      <c r="G143">
        <v>4.8</v>
      </c>
      <c r="H143">
        <f>IF(MONTH(calls[[#This Row],[Date of Call]])&lt;=6, YEAR(calls[[#This Row],[Date of Call]]), YEAR(calls[[#This Row],[Date of Call]])+1)</f>
        <v>2023</v>
      </c>
      <c r="I143" t="str">
        <f>TEXT(calls[[#This Row],[Date of Call]],"DDDD")</f>
        <v>Monday</v>
      </c>
      <c r="J143" t="str">
        <f t="array" ref="J143">_xlfn.IFS(calls[[#This Row],[Duration]]&lt;=10,"Under 10 mins", calls[[#This Row],[Duration]]&lt;=30, "10 to 30 mins", calls[[#This Row],[Duration]]&lt;=60, "30 to 60 mins", calls[[#This Row],[Duration]]&lt;=120, "1 to 2 hours", TRUE, "More than 2 hours")</f>
        <v>More than 2 hours</v>
      </c>
      <c r="K143">
        <f>ROUND(calls[[#This Row],[Satisfaction Rating]],0)</f>
        <v>5</v>
      </c>
    </row>
    <row r="144" spans="1:11" ht="13.8" x14ac:dyDescent="0.25">
      <c r="A144" t="s">
        <v>173</v>
      </c>
      <c r="B144" t="s">
        <v>43</v>
      </c>
      <c r="C144">
        <v>42</v>
      </c>
      <c r="D144" s="4" t="s">
        <v>28</v>
      </c>
      <c r="E144" s="5">
        <v>44985</v>
      </c>
      <c r="F144">
        <v>111</v>
      </c>
      <c r="G144">
        <v>3</v>
      </c>
      <c r="H144">
        <f>IF(MONTH(calls[[#This Row],[Date of Call]])&lt;=6, YEAR(calls[[#This Row],[Date of Call]]), YEAR(calls[[#This Row],[Date of Call]])+1)</f>
        <v>2023</v>
      </c>
      <c r="I144" t="str">
        <f>TEXT(calls[[#This Row],[Date of Call]],"DDDD")</f>
        <v>Tuesday</v>
      </c>
      <c r="J144" t="str">
        <f t="array" ref="J144">_xlfn.IFS(calls[[#This Row],[Duration]]&lt;=10,"Under 10 mins", calls[[#This Row],[Duration]]&lt;=30, "10 to 30 mins", calls[[#This Row],[Duration]]&lt;=60, "30 to 60 mins", calls[[#This Row],[Duration]]&lt;=120, "1 to 2 hours", TRUE, "More than 2 hours")</f>
        <v>30 to 60 mins</v>
      </c>
      <c r="K144">
        <f>ROUND(calls[[#This Row],[Satisfaction Rating]],0)</f>
        <v>3</v>
      </c>
    </row>
    <row r="145" spans="1:11" ht="13.8" x14ac:dyDescent="0.25">
      <c r="A145" t="s">
        <v>174</v>
      </c>
      <c r="B145" t="s">
        <v>43</v>
      </c>
      <c r="C145">
        <v>71</v>
      </c>
      <c r="D145" s="4" t="s">
        <v>32</v>
      </c>
      <c r="E145" s="5">
        <v>44985</v>
      </c>
      <c r="F145">
        <v>104</v>
      </c>
      <c r="G145">
        <v>3.1</v>
      </c>
      <c r="H145">
        <f>IF(MONTH(calls[[#This Row],[Date of Call]])&lt;=6, YEAR(calls[[#This Row],[Date of Call]]), YEAR(calls[[#This Row],[Date of Call]])+1)</f>
        <v>2023</v>
      </c>
      <c r="I145" t="str">
        <f>TEXT(calls[[#This Row],[Date of Call]],"DDDD")</f>
        <v>Tuesday</v>
      </c>
      <c r="J145" t="str">
        <f t="array" ref="J145">_xlfn.IFS(calls[[#This Row],[Duration]]&lt;=10,"Under 10 mins", calls[[#This Row],[Duration]]&lt;=30, "10 to 30 mins", calls[[#This Row],[Duration]]&lt;=60, "30 to 60 mins", calls[[#This Row],[Duration]]&lt;=120, "1 to 2 hours", TRUE, "More than 2 hours")</f>
        <v>1 to 2 hours</v>
      </c>
      <c r="K145">
        <f>ROUND(calls[[#This Row],[Satisfaction Rating]],0)</f>
        <v>3</v>
      </c>
    </row>
    <row r="146" spans="1:11" ht="13.8" x14ac:dyDescent="0.25">
      <c r="A146" t="s">
        <v>175</v>
      </c>
      <c r="B146" t="s">
        <v>17</v>
      </c>
      <c r="C146">
        <v>53</v>
      </c>
      <c r="D146" s="4" t="s">
        <v>23</v>
      </c>
      <c r="E146" s="5">
        <v>44985</v>
      </c>
      <c r="F146">
        <v>80</v>
      </c>
      <c r="G146">
        <v>2.6</v>
      </c>
      <c r="H146">
        <f>IF(MONTH(calls[[#This Row],[Date of Call]])&lt;=6, YEAR(calls[[#This Row],[Date of Call]]), YEAR(calls[[#This Row],[Date of Call]])+1)</f>
        <v>2023</v>
      </c>
      <c r="I146" t="str">
        <f>TEXT(calls[[#This Row],[Date of Call]],"DDDD")</f>
        <v>Tuesday</v>
      </c>
      <c r="J146" t="str">
        <f t="array" ref="J146">_xlfn.IFS(calls[[#This Row],[Duration]]&lt;=10,"Under 10 mins", calls[[#This Row],[Duration]]&lt;=30, "10 to 30 mins", calls[[#This Row],[Duration]]&lt;=60, "30 to 60 mins", calls[[#This Row],[Duration]]&lt;=120, "1 to 2 hours", TRUE, "More than 2 hours")</f>
        <v>30 to 60 mins</v>
      </c>
      <c r="K146">
        <f>ROUND(calls[[#This Row],[Satisfaction Rating]],0)</f>
        <v>3</v>
      </c>
    </row>
    <row r="147" spans="1:11" ht="13.8" x14ac:dyDescent="0.25">
      <c r="A147" t="s">
        <v>176</v>
      </c>
      <c r="B147" t="s">
        <v>22</v>
      </c>
      <c r="C147">
        <v>155</v>
      </c>
      <c r="D147" s="4" t="s">
        <v>32</v>
      </c>
      <c r="E147" s="5">
        <v>44986</v>
      </c>
      <c r="F147">
        <v>132</v>
      </c>
      <c r="G147">
        <v>4.5999999999999996</v>
      </c>
      <c r="H147">
        <f>IF(MONTH(calls[[#This Row],[Date of Call]])&lt;=6, YEAR(calls[[#This Row],[Date of Call]]), YEAR(calls[[#This Row],[Date of Call]])+1)</f>
        <v>2023</v>
      </c>
      <c r="I147" t="str">
        <f>TEXT(calls[[#This Row],[Date of Call]],"DDDD")</f>
        <v>Wednesday</v>
      </c>
      <c r="J147" t="str">
        <f t="array" ref="J147">_xlfn.IFS(calls[[#This Row],[Duration]]&lt;=10,"Under 10 mins", calls[[#This Row],[Duration]]&lt;=30, "10 to 30 mins", calls[[#This Row],[Duration]]&lt;=60, "30 to 60 mins", calls[[#This Row],[Duration]]&lt;=120, "1 to 2 hours", TRUE, "More than 2 hours")</f>
        <v>More than 2 hours</v>
      </c>
      <c r="K147">
        <f>ROUND(calls[[#This Row],[Satisfaction Rating]],0)</f>
        <v>5</v>
      </c>
    </row>
    <row r="148" spans="1:11" ht="13.8" x14ac:dyDescent="0.25">
      <c r="A148" t="s">
        <v>177</v>
      </c>
      <c r="B148" t="s">
        <v>22</v>
      </c>
      <c r="C148">
        <v>90</v>
      </c>
      <c r="D148" s="4" t="s">
        <v>28</v>
      </c>
      <c r="E148" s="5">
        <v>44986</v>
      </c>
      <c r="F148">
        <v>170</v>
      </c>
      <c r="G148">
        <v>3.7</v>
      </c>
      <c r="H148">
        <f>IF(MONTH(calls[[#This Row],[Date of Call]])&lt;=6, YEAR(calls[[#This Row],[Date of Call]]), YEAR(calls[[#This Row],[Date of Call]])+1)</f>
        <v>2023</v>
      </c>
      <c r="I148" t="str">
        <f>TEXT(calls[[#This Row],[Date of Call]],"DDDD")</f>
        <v>Wednesday</v>
      </c>
      <c r="J148" t="str">
        <f t="array" ref="J148">_xlfn.IFS(calls[[#This Row],[Duration]]&lt;=10,"Under 10 mins", calls[[#This Row],[Duration]]&lt;=30, "10 to 30 mins", calls[[#This Row],[Duration]]&lt;=60, "30 to 60 mins", calls[[#This Row],[Duration]]&lt;=120, "1 to 2 hours", TRUE, "More than 2 hours")</f>
        <v>1 to 2 hours</v>
      </c>
      <c r="K148">
        <f>ROUND(calls[[#This Row],[Satisfaction Rating]],0)</f>
        <v>4</v>
      </c>
    </row>
    <row r="149" spans="1:11" ht="13.8" x14ac:dyDescent="0.25">
      <c r="A149" t="s">
        <v>178</v>
      </c>
      <c r="B149" t="s">
        <v>46</v>
      </c>
      <c r="C149">
        <v>166</v>
      </c>
      <c r="D149" s="4" t="s">
        <v>18</v>
      </c>
      <c r="E149" s="5">
        <v>44986</v>
      </c>
      <c r="F149">
        <v>36</v>
      </c>
      <c r="G149">
        <v>3.8</v>
      </c>
      <c r="H149">
        <f>IF(MONTH(calls[[#This Row],[Date of Call]])&lt;=6, YEAR(calls[[#This Row],[Date of Call]]), YEAR(calls[[#This Row],[Date of Call]])+1)</f>
        <v>2023</v>
      </c>
      <c r="I149" t="str">
        <f>TEXT(calls[[#This Row],[Date of Call]],"DDDD")</f>
        <v>Wednesday</v>
      </c>
      <c r="J149" t="str">
        <f t="array" ref="J149">_xlfn.IFS(calls[[#This Row],[Duration]]&lt;=10,"Under 10 mins", calls[[#This Row],[Duration]]&lt;=30, "10 to 30 mins", calls[[#This Row],[Duration]]&lt;=60, "30 to 60 mins", calls[[#This Row],[Duration]]&lt;=120, "1 to 2 hours", TRUE, "More than 2 hours")</f>
        <v>More than 2 hours</v>
      </c>
      <c r="K149">
        <f>ROUND(calls[[#This Row],[Satisfaction Rating]],0)</f>
        <v>4</v>
      </c>
    </row>
    <row r="150" spans="1:11" ht="13.8" x14ac:dyDescent="0.25">
      <c r="A150" t="s">
        <v>179</v>
      </c>
      <c r="B150" t="s">
        <v>37</v>
      </c>
      <c r="C150">
        <v>89</v>
      </c>
      <c r="D150" s="4" t="s">
        <v>32</v>
      </c>
      <c r="E150" s="5">
        <v>44986</v>
      </c>
      <c r="F150">
        <v>126</v>
      </c>
      <c r="G150">
        <v>3.6</v>
      </c>
      <c r="H150">
        <f>IF(MONTH(calls[[#This Row],[Date of Call]])&lt;=6, YEAR(calls[[#This Row],[Date of Call]]), YEAR(calls[[#This Row],[Date of Call]])+1)</f>
        <v>2023</v>
      </c>
      <c r="I150" t="str">
        <f>TEXT(calls[[#This Row],[Date of Call]],"DDDD")</f>
        <v>Wednesday</v>
      </c>
      <c r="J150" t="str">
        <f t="array" ref="J150">_xlfn.IFS(calls[[#This Row],[Duration]]&lt;=10,"Under 10 mins", calls[[#This Row],[Duration]]&lt;=30, "10 to 30 mins", calls[[#This Row],[Duration]]&lt;=60, "30 to 60 mins", calls[[#This Row],[Duration]]&lt;=120, "1 to 2 hours", TRUE, "More than 2 hours")</f>
        <v>1 to 2 hours</v>
      </c>
      <c r="K150">
        <f>ROUND(calls[[#This Row],[Satisfaction Rating]],0)</f>
        <v>4</v>
      </c>
    </row>
    <row r="151" spans="1:11" ht="13.8" x14ac:dyDescent="0.25">
      <c r="A151" t="s">
        <v>180</v>
      </c>
      <c r="B151" t="s">
        <v>51</v>
      </c>
      <c r="C151">
        <v>152</v>
      </c>
      <c r="D151" s="4" t="s">
        <v>23</v>
      </c>
      <c r="E151" s="5">
        <v>44986</v>
      </c>
      <c r="F151">
        <v>215</v>
      </c>
      <c r="G151">
        <v>4.4000000000000004</v>
      </c>
      <c r="H151">
        <f>IF(MONTH(calls[[#This Row],[Date of Call]])&lt;=6, YEAR(calls[[#This Row],[Date of Call]]), YEAR(calls[[#This Row],[Date of Call]])+1)</f>
        <v>2023</v>
      </c>
      <c r="I151" t="str">
        <f>TEXT(calls[[#This Row],[Date of Call]],"DDDD")</f>
        <v>Wednesday</v>
      </c>
      <c r="J151" t="str">
        <f t="array" ref="J151">_xlfn.IFS(calls[[#This Row],[Duration]]&lt;=10,"Under 10 mins", calls[[#This Row],[Duration]]&lt;=30, "10 to 30 mins", calls[[#This Row],[Duration]]&lt;=60, "30 to 60 mins", calls[[#This Row],[Duration]]&lt;=120, "1 to 2 hours", TRUE, "More than 2 hours")</f>
        <v>More than 2 hours</v>
      </c>
      <c r="K151">
        <f>ROUND(calls[[#This Row],[Satisfaction Rating]],0)</f>
        <v>4</v>
      </c>
    </row>
    <row r="152" spans="1:11" ht="13.8" x14ac:dyDescent="0.25">
      <c r="A152" t="s">
        <v>181</v>
      </c>
      <c r="B152" t="s">
        <v>37</v>
      </c>
      <c r="C152">
        <v>137</v>
      </c>
      <c r="D152" s="4" t="s">
        <v>28</v>
      </c>
      <c r="E152" s="5">
        <v>44986</v>
      </c>
      <c r="F152">
        <v>114</v>
      </c>
      <c r="G152">
        <v>3.2</v>
      </c>
      <c r="H152">
        <f>IF(MONTH(calls[[#This Row],[Date of Call]])&lt;=6, YEAR(calls[[#This Row],[Date of Call]]), YEAR(calls[[#This Row],[Date of Call]])+1)</f>
        <v>2023</v>
      </c>
      <c r="I152" t="str">
        <f>TEXT(calls[[#This Row],[Date of Call]],"DDDD")</f>
        <v>Wednesday</v>
      </c>
      <c r="J152" t="str">
        <f t="array" ref="J152">_xlfn.IFS(calls[[#This Row],[Duration]]&lt;=10,"Under 10 mins", calls[[#This Row],[Duration]]&lt;=30, "10 to 30 mins", calls[[#This Row],[Duration]]&lt;=60, "30 to 60 mins", calls[[#This Row],[Duration]]&lt;=120, "1 to 2 hours", TRUE, "More than 2 hours")</f>
        <v>More than 2 hours</v>
      </c>
      <c r="K152">
        <f>ROUND(calls[[#This Row],[Satisfaction Rating]],0)</f>
        <v>3</v>
      </c>
    </row>
    <row r="153" spans="1:11" ht="13.8" x14ac:dyDescent="0.25">
      <c r="A153" t="s">
        <v>182</v>
      </c>
      <c r="B153" t="s">
        <v>37</v>
      </c>
      <c r="C153">
        <v>43</v>
      </c>
      <c r="D153" s="4" t="s">
        <v>28</v>
      </c>
      <c r="E153" s="5">
        <v>44986</v>
      </c>
      <c r="F153">
        <v>99</v>
      </c>
      <c r="G153">
        <v>4.7</v>
      </c>
      <c r="H153">
        <f>IF(MONTH(calls[[#This Row],[Date of Call]])&lt;=6, YEAR(calls[[#This Row],[Date of Call]]), YEAR(calls[[#This Row],[Date of Call]])+1)</f>
        <v>2023</v>
      </c>
      <c r="I153" t="str">
        <f>TEXT(calls[[#This Row],[Date of Call]],"DDDD")</f>
        <v>Wednesday</v>
      </c>
      <c r="J153" t="str">
        <f t="array" ref="J153">_xlfn.IFS(calls[[#This Row],[Duration]]&lt;=10,"Under 10 mins", calls[[#This Row],[Duration]]&lt;=30, "10 to 30 mins", calls[[#This Row],[Duration]]&lt;=60, "30 to 60 mins", calls[[#This Row],[Duration]]&lt;=120, "1 to 2 hours", TRUE, "More than 2 hours")</f>
        <v>30 to 60 mins</v>
      </c>
      <c r="K153">
        <f>ROUND(calls[[#This Row],[Satisfaction Rating]],0)</f>
        <v>5</v>
      </c>
    </row>
    <row r="154" spans="1:11" ht="13.8" x14ac:dyDescent="0.25">
      <c r="A154" t="s">
        <v>183</v>
      </c>
      <c r="B154" t="s">
        <v>31</v>
      </c>
      <c r="C154">
        <v>114</v>
      </c>
      <c r="D154" s="4" t="s">
        <v>28</v>
      </c>
      <c r="E154" s="5">
        <v>44987</v>
      </c>
      <c r="F154">
        <v>23</v>
      </c>
      <c r="G154">
        <v>4.8</v>
      </c>
      <c r="H154">
        <f>IF(MONTH(calls[[#This Row],[Date of Call]])&lt;=6, YEAR(calls[[#This Row],[Date of Call]]), YEAR(calls[[#This Row],[Date of Call]])+1)</f>
        <v>2023</v>
      </c>
      <c r="I154" t="str">
        <f>TEXT(calls[[#This Row],[Date of Call]],"DDDD")</f>
        <v>Thursday</v>
      </c>
      <c r="J154" t="str">
        <f t="array" ref="J154">_xlfn.IFS(calls[[#This Row],[Duration]]&lt;=10,"Under 10 mins", calls[[#This Row],[Duration]]&lt;=30, "10 to 30 mins", calls[[#This Row],[Duration]]&lt;=60, "30 to 60 mins", calls[[#This Row],[Duration]]&lt;=120, "1 to 2 hours", TRUE, "More than 2 hours")</f>
        <v>1 to 2 hours</v>
      </c>
      <c r="K154">
        <f>ROUND(calls[[#This Row],[Satisfaction Rating]],0)</f>
        <v>5</v>
      </c>
    </row>
    <row r="155" spans="1:11" ht="13.8" x14ac:dyDescent="0.25">
      <c r="A155" t="s">
        <v>184</v>
      </c>
      <c r="B155" t="s">
        <v>20</v>
      </c>
      <c r="C155">
        <v>103</v>
      </c>
      <c r="D155" s="4" t="s">
        <v>32</v>
      </c>
      <c r="E155" s="5">
        <v>44987</v>
      </c>
      <c r="F155">
        <v>75</v>
      </c>
      <c r="G155">
        <v>2.7</v>
      </c>
      <c r="H155">
        <f>IF(MONTH(calls[[#This Row],[Date of Call]])&lt;=6, YEAR(calls[[#This Row],[Date of Call]]), YEAR(calls[[#This Row],[Date of Call]])+1)</f>
        <v>2023</v>
      </c>
      <c r="I155" t="str">
        <f>TEXT(calls[[#This Row],[Date of Call]],"DDDD")</f>
        <v>Thursday</v>
      </c>
      <c r="J155" t="str">
        <f t="array" ref="J155">_xlfn.IFS(calls[[#This Row],[Duration]]&lt;=10,"Under 10 mins", calls[[#This Row],[Duration]]&lt;=30, "10 to 30 mins", calls[[#This Row],[Duration]]&lt;=60, "30 to 60 mins", calls[[#This Row],[Duration]]&lt;=120, "1 to 2 hours", TRUE, "More than 2 hours")</f>
        <v>1 to 2 hours</v>
      </c>
      <c r="K155">
        <f>ROUND(calls[[#This Row],[Satisfaction Rating]],0)</f>
        <v>3</v>
      </c>
    </row>
    <row r="156" spans="1:11" ht="13.8" x14ac:dyDescent="0.25">
      <c r="A156" t="s">
        <v>185</v>
      </c>
      <c r="B156" t="s">
        <v>37</v>
      </c>
      <c r="C156">
        <v>98</v>
      </c>
      <c r="D156" s="4" t="s">
        <v>23</v>
      </c>
      <c r="E156" s="5">
        <v>44987</v>
      </c>
      <c r="F156">
        <v>100</v>
      </c>
      <c r="G156">
        <v>3.8</v>
      </c>
      <c r="H156">
        <f>IF(MONTH(calls[[#This Row],[Date of Call]])&lt;=6, YEAR(calls[[#This Row],[Date of Call]]), YEAR(calls[[#This Row],[Date of Call]])+1)</f>
        <v>2023</v>
      </c>
      <c r="I156" t="str">
        <f>TEXT(calls[[#This Row],[Date of Call]],"DDDD")</f>
        <v>Thursday</v>
      </c>
      <c r="J156" t="str">
        <f t="array" ref="J156">_xlfn.IFS(calls[[#This Row],[Duration]]&lt;=10,"Under 10 mins", calls[[#This Row],[Duration]]&lt;=30, "10 to 30 mins", calls[[#This Row],[Duration]]&lt;=60, "30 to 60 mins", calls[[#This Row],[Duration]]&lt;=120, "1 to 2 hours", TRUE, "More than 2 hours")</f>
        <v>1 to 2 hours</v>
      </c>
      <c r="K156">
        <f>ROUND(calls[[#This Row],[Satisfaction Rating]],0)</f>
        <v>4</v>
      </c>
    </row>
    <row r="157" spans="1:11" ht="13.8" x14ac:dyDescent="0.25">
      <c r="A157" t="s">
        <v>186</v>
      </c>
      <c r="B157" t="s">
        <v>46</v>
      </c>
      <c r="C157">
        <v>106</v>
      </c>
      <c r="D157" s="4" t="s">
        <v>18</v>
      </c>
      <c r="E157" s="5">
        <v>44987</v>
      </c>
      <c r="F157">
        <v>108</v>
      </c>
      <c r="G157">
        <v>4.3</v>
      </c>
      <c r="H157">
        <f>IF(MONTH(calls[[#This Row],[Date of Call]])&lt;=6, YEAR(calls[[#This Row],[Date of Call]]), YEAR(calls[[#This Row],[Date of Call]])+1)</f>
        <v>2023</v>
      </c>
      <c r="I157" t="str">
        <f>TEXT(calls[[#This Row],[Date of Call]],"DDDD")</f>
        <v>Thursday</v>
      </c>
      <c r="J157" t="str">
        <f t="array" ref="J157">_xlfn.IFS(calls[[#This Row],[Duration]]&lt;=10,"Under 10 mins", calls[[#This Row],[Duration]]&lt;=30, "10 to 30 mins", calls[[#This Row],[Duration]]&lt;=60, "30 to 60 mins", calls[[#This Row],[Duration]]&lt;=120, "1 to 2 hours", TRUE, "More than 2 hours")</f>
        <v>1 to 2 hours</v>
      </c>
      <c r="K157">
        <f>ROUND(calls[[#This Row],[Satisfaction Rating]],0)</f>
        <v>4</v>
      </c>
    </row>
    <row r="158" spans="1:11" ht="13.8" x14ac:dyDescent="0.25">
      <c r="A158" t="s">
        <v>187</v>
      </c>
      <c r="B158" t="s">
        <v>15</v>
      </c>
      <c r="C158">
        <v>96</v>
      </c>
      <c r="D158" s="4" t="s">
        <v>18</v>
      </c>
      <c r="E158" s="5">
        <v>44987</v>
      </c>
      <c r="F158">
        <v>108</v>
      </c>
      <c r="G158">
        <v>5</v>
      </c>
      <c r="H158">
        <f>IF(MONTH(calls[[#This Row],[Date of Call]])&lt;=6, YEAR(calls[[#This Row],[Date of Call]]), YEAR(calls[[#This Row],[Date of Call]])+1)</f>
        <v>2023</v>
      </c>
      <c r="I158" t="str">
        <f>TEXT(calls[[#This Row],[Date of Call]],"DDDD")</f>
        <v>Thursday</v>
      </c>
      <c r="J158" t="str">
        <f t="array" ref="J158">_xlfn.IFS(calls[[#This Row],[Duration]]&lt;=10,"Under 10 mins", calls[[#This Row],[Duration]]&lt;=30, "10 to 30 mins", calls[[#This Row],[Duration]]&lt;=60, "30 to 60 mins", calls[[#This Row],[Duration]]&lt;=120, "1 to 2 hours", TRUE, "More than 2 hours")</f>
        <v>1 to 2 hours</v>
      </c>
      <c r="K158">
        <f>ROUND(calls[[#This Row],[Satisfaction Rating]],0)</f>
        <v>5</v>
      </c>
    </row>
    <row r="159" spans="1:11" ht="13.8" x14ac:dyDescent="0.25">
      <c r="A159" t="s">
        <v>188</v>
      </c>
      <c r="B159" t="s">
        <v>20</v>
      </c>
      <c r="C159">
        <v>70</v>
      </c>
      <c r="D159" s="4" t="s">
        <v>18</v>
      </c>
      <c r="E159" s="5">
        <v>44987</v>
      </c>
      <c r="F159">
        <v>28</v>
      </c>
      <c r="G159">
        <v>4.8</v>
      </c>
      <c r="H159">
        <f>IF(MONTH(calls[[#This Row],[Date of Call]])&lt;=6, YEAR(calls[[#This Row],[Date of Call]]), YEAR(calls[[#This Row],[Date of Call]])+1)</f>
        <v>2023</v>
      </c>
      <c r="I159" t="str">
        <f>TEXT(calls[[#This Row],[Date of Call]],"DDDD")</f>
        <v>Thursday</v>
      </c>
      <c r="J159" t="str">
        <f t="array" ref="J159">_xlfn.IFS(calls[[#This Row],[Duration]]&lt;=10,"Under 10 mins", calls[[#This Row],[Duration]]&lt;=30, "10 to 30 mins", calls[[#This Row],[Duration]]&lt;=60, "30 to 60 mins", calls[[#This Row],[Duration]]&lt;=120, "1 to 2 hours", TRUE, "More than 2 hours")</f>
        <v>1 to 2 hours</v>
      </c>
      <c r="K159">
        <f>ROUND(calls[[#This Row],[Satisfaction Rating]],0)</f>
        <v>5</v>
      </c>
    </row>
    <row r="160" spans="1:11" ht="13.8" x14ac:dyDescent="0.25">
      <c r="A160" t="s">
        <v>189</v>
      </c>
      <c r="B160" t="s">
        <v>43</v>
      </c>
      <c r="C160">
        <v>86</v>
      </c>
      <c r="D160" s="4" t="s">
        <v>13</v>
      </c>
      <c r="E160" s="5">
        <v>44988</v>
      </c>
      <c r="F160">
        <v>70</v>
      </c>
      <c r="G160">
        <v>4.9000000000000004</v>
      </c>
      <c r="H160">
        <f>IF(MONTH(calls[[#This Row],[Date of Call]])&lt;=6, YEAR(calls[[#This Row],[Date of Call]]), YEAR(calls[[#This Row],[Date of Call]])+1)</f>
        <v>2023</v>
      </c>
      <c r="I160" t="str">
        <f>TEXT(calls[[#This Row],[Date of Call]],"DDDD")</f>
        <v>Friday</v>
      </c>
      <c r="J160" t="str">
        <f t="array" ref="J160">_xlfn.IFS(calls[[#This Row],[Duration]]&lt;=10,"Under 10 mins", calls[[#This Row],[Duration]]&lt;=30, "10 to 30 mins", calls[[#This Row],[Duration]]&lt;=60, "30 to 60 mins", calls[[#This Row],[Duration]]&lt;=120, "1 to 2 hours", TRUE, "More than 2 hours")</f>
        <v>1 to 2 hours</v>
      </c>
      <c r="K160">
        <f>ROUND(calls[[#This Row],[Satisfaction Rating]],0)</f>
        <v>5</v>
      </c>
    </row>
    <row r="161" spans="1:11" ht="13.8" x14ac:dyDescent="0.25">
      <c r="A161" t="s">
        <v>190</v>
      </c>
      <c r="B161" t="s">
        <v>17</v>
      </c>
      <c r="C161">
        <v>64</v>
      </c>
      <c r="D161" s="4" t="s">
        <v>13</v>
      </c>
      <c r="E161" s="5">
        <v>44988</v>
      </c>
      <c r="F161">
        <v>172</v>
      </c>
      <c r="G161">
        <v>4.0999999999999996</v>
      </c>
      <c r="H161">
        <f>IF(MONTH(calls[[#This Row],[Date of Call]])&lt;=6, YEAR(calls[[#This Row],[Date of Call]]), YEAR(calls[[#This Row],[Date of Call]])+1)</f>
        <v>2023</v>
      </c>
      <c r="I161" t="str">
        <f>TEXT(calls[[#This Row],[Date of Call]],"DDDD")</f>
        <v>Friday</v>
      </c>
      <c r="J161" t="str">
        <f t="array" ref="J161">_xlfn.IFS(calls[[#This Row],[Duration]]&lt;=10,"Under 10 mins", calls[[#This Row],[Duration]]&lt;=30, "10 to 30 mins", calls[[#This Row],[Duration]]&lt;=60, "30 to 60 mins", calls[[#This Row],[Duration]]&lt;=120, "1 to 2 hours", TRUE, "More than 2 hours")</f>
        <v>1 to 2 hours</v>
      </c>
      <c r="K161">
        <f>ROUND(calls[[#This Row],[Satisfaction Rating]],0)</f>
        <v>4</v>
      </c>
    </row>
    <row r="162" spans="1:11" ht="13.8" x14ac:dyDescent="0.25">
      <c r="A162" t="s">
        <v>191</v>
      </c>
      <c r="B162" t="s">
        <v>15</v>
      </c>
      <c r="C162">
        <v>113</v>
      </c>
      <c r="D162" s="4" t="s">
        <v>23</v>
      </c>
      <c r="E162" s="5">
        <v>44988</v>
      </c>
      <c r="F162">
        <v>123</v>
      </c>
      <c r="G162">
        <v>4.4000000000000004</v>
      </c>
      <c r="H162">
        <f>IF(MONTH(calls[[#This Row],[Date of Call]])&lt;=6, YEAR(calls[[#This Row],[Date of Call]]), YEAR(calls[[#This Row],[Date of Call]])+1)</f>
        <v>2023</v>
      </c>
      <c r="I162" t="str">
        <f>TEXT(calls[[#This Row],[Date of Call]],"DDDD")</f>
        <v>Friday</v>
      </c>
      <c r="J162" t="str">
        <f t="array" ref="J162">_xlfn.IFS(calls[[#This Row],[Duration]]&lt;=10,"Under 10 mins", calls[[#This Row],[Duration]]&lt;=30, "10 to 30 mins", calls[[#This Row],[Duration]]&lt;=60, "30 to 60 mins", calls[[#This Row],[Duration]]&lt;=120, "1 to 2 hours", TRUE, "More than 2 hours")</f>
        <v>1 to 2 hours</v>
      </c>
      <c r="K162">
        <f>ROUND(calls[[#This Row],[Satisfaction Rating]],0)</f>
        <v>4</v>
      </c>
    </row>
    <row r="163" spans="1:11" ht="13.8" x14ac:dyDescent="0.25">
      <c r="A163" t="s">
        <v>192</v>
      </c>
      <c r="B163" t="s">
        <v>15</v>
      </c>
      <c r="C163">
        <v>21</v>
      </c>
      <c r="D163" s="4" t="s">
        <v>18</v>
      </c>
      <c r="E163" s="5">
        <v>44988</v>
      </c>
      <c r="F163">
        <v>93</v>
      </c>
      <c r="G163">
        <v>3.4</v>
      </c>
      <c r="H163">
        <f>IF(MONTH(calls[[#This Row],[Date of Call]])&lt;=6, YEAR(calls[[#This Row],[Date of Call]]), YEAR(calls[[#This Row],[Date of Call]])+1)</f>
        <v>2023</v>
      </c>
      <c r="I163" t="str">
        <f>TEXT(calls[[#This Row],[Date of Call]],"DDDD")</f>
        <v>Friday</v>
      </c>
      <c r="J163" t="str">
        <f t="array" ref="J163">_xlfn.IFS(calls[[#This Row],[Duration]]&lt;=10,"Under 10 mins", calls[[#This Row],[Duration]]&lt;=30, "10 to 30 mins", calls[[#This Row],[Duration]]&lt;=60, "30 to 60 mins", calls[[#This Row],[Duration]]&lt;=120, "1 to 2 hours", TRUE, "More than 2 hours")</f>
        <v>10 to 30 mins</v>
      </c>
      <c r="K163">
        <f>ROUND(calls[[#This Row],[Satisfaction Rating]],0)</f>
        <v>3</v>
      </c>
    </row>
    <row r="164" spans="1:11" ht="13.8" x14ac:dyDescent="0.25">
      <c r="A164" t="s">
        <v>193</v>
      </c>
      <c r="B164" t="s">
        <v>54</v>
      </c>
      <c r="C164">
        <v>107</v>
      </c>
      <c r="D164" s="4" t="s">
        <v>13</v>
      </c>
      <c r="E164" s="5">
        <v>44988</v>
      </c>
      <c r="F164">
        <v>66</v>
      </c>
      <c r="G164">
        <v>4</v>
      </c>
      <c r="H164">
        <f>IF(MONTH(calls[[#This Row],[Date of Call]])&lt;=6, YEAR(calls[[#This Row],[Date of Call]]), YEAR(calls[[#This Row],[Date of Call]])+1)</f>
        <v>2023</v>
      </c>
      <c r="I164" t="str">
        <f>TEXT(calls[[#This Row],[Date of Call]],"DDDD")</f>
        <v>Friday</v>
      </c>
      <c r="J164" t="str">
        <f t="array" ref="J164">_xlfn.IFS(calls[[#This Row],[Duration]]&lt;=10,"Under 10 mins", calls[[#This Row],[Duration]]&lt;=30, "10 to 30 mins", calls[[#This Row],[Duration]]&lt;=60, "30 to 60 mins", calls[[#This Row],[Duration]]&lt;=120, "1 to 2 hours", TRUE, "More than 2 hours")</f>
        <v>1 to 2 hours</v>
      </c>
      <c r="K164">
        <f>ROUND(calls[[#This Row],[Satisfaction Rating]],0)</f>
        <v>4</v>
      </c>
    </row>
    <row r="165" spans="1:11" ht="13.8" x14ac:dyDescent="0.25">
      <c r="A165" t="s">
        <v>194</v>
      </c>
      <c r="B165" t="s">
        <v>54</v>
      </c>
      <c r="C165">
        <v>131</v>
      </c>
      <c r="D165" s="4" t="s">
        <v>18</v>
      </c>
      <c r="E165" s="5">
        <v>44988</v>
      </c>
      <c r="F165">
        <v>39</v>
      </c>
      <c r="G165">
        <v>2.4</v>
      </c>
      <c r="H165">
        <f>IF(MONTH(calls[[#This Row],[Date of Call]])&lt;=6, YEAR(calls[[#This Row],[Date of Call]]), YEAR(calls[[#This Row],[Date of Call]])+1)</f>
        <v>2023</v>
      </c>
      <c r="I165" t="str">
        <f>TEXT(calls[[#This Row],[Date of Call]],"DDDD")</f>
        <v>Friday</v>
      </c>
      <c r="J165" t="str">
        <f t="array" ref="J165">_xlfn.IFS(calls[[#This Row],[Duration]]&lt;=10,"Under 10 mins", calls[[#This Row],[Duration]]&lt;=30, "10 to 30 mins", calls[[#This Row],[Duration]]&lt;=60, "30 to 60 mins", calls[[#This Row],[Duration]]&lt;=120, "1 to 2 hours", TRUE, "More than 2 hours")</f>
        <v>More than 2 hours</v>
      </c>
      <c r="K165">
        <f>ROUND(calls[[#This Row],[Satisfaction Rating]],0)</f>
        <v>2</v>
      </c>
    </row>
    <row r="166" spans="1:11" ht="13.8" x14ac:dyDescent="0.25">
      <c r="A166" t="s">
        <v>195</v>
      </c>
      <c r="B166" t="s">
        <v>12</v>
      </c>
      <c r="C166">
        <v>11</v>
      </c>
      <c r="D166" s="4" t="s">
        <v>32</v>
      </c>
      <c r="E166" s="5">
        <v>44988</v>
      </c>
      <c r="F166">
        <v>25</v>
      </c>
      <c r="G166">
        <v>2.1</v>
      </c>
      <c r="H166">
        <f>IF(MONTH(calls[[#This Row],[Date of Call]])&lt;=6, YEAR(calls[[#This Row],[Date of Call]]), YEAR(calls[[#This Row],[Date of Call]])+1)</f>
        <v>2023</v>
      </c>
      <c r="I166" t="str">
        <f>TEXT(calls[[#This Row],[Date of Call]],"DDDD")</f>
        <v>Friday</v>
      </c>
      <c r="J166" t="str">
        <f t="array" ref="J166">_xlfn.IFS(calls[[#This Row],[Duration]]&lt;=10,"Under 10 mins", calls[[#This Row],[Duration]]&lt;=30, "10 to 30 mins", calls[[#This Row],[Duration]]&lt;=60, "30 to 60 mins", calls[[#This Row],[Duration]]&lt;=120, "1 to 2 hours", TRUE, "More than 2 hours")</f>
        <v>10 to 30 mins</v>
      </c>
      <c r="K166">
        <f>ROUND(calls[[#This Row],[Satisfaction Rating]],0)</f>
        <v>2</v>
      </c>
    </row>
    <row r="167" spans="1:11" ht="13.8" x14ac:dyDescent="0.25">
      <c r="A167" t="s">
        <v>196</v>
      </c>
      <c r="B167" t="s">
        <v>64</v>
      </c>
      <c r="C167">
        <v>86</v>
      </c>
      <c r="D167" s="4" t="s">
        <v>23</v>
      </c>
      <c r="E167" s="5">
        <v>44988</v>
      </c>
      <c r="F167">
        <v>68</v>
      </c>
      <c r="G167">
        <v>3</v>
      </c>
      <c r="H167">
        <f>IF(MONTH(calls[[#This Row],[Date of Call]])&lt;=6, YEAR(calls[[#This Row],[Date of Call]]), YEAR(calls[[#This Row],[Date of Call]])+1)</f>
        <v>2023</v>
      </c>
      <c r="I167" t="str">
        <f>TEXT(calls[[#This Row],[Date of Call]],"DDDD")</f>
        <v>Friday</v>
      </c>
      <c r="J167" t="str">
        <f t="array" ref="J167">_xlfn.IFS(calls[[#This Row],[Duration]]&lt;=10,"Under 10 mins", calls[[#This Row],[Duration]]&lt;=30, "10 to 30 mins", calls[[#This Row],[Duration]]&lt;=60, "30 to 60 mins", calls[[#This Row],[Duration]]&lt;=120, "1 to 2 hours", TRUE, "More than 2 hours")</f>
        <v>1 to 2 hours</v>
      </c>
      <c r="K167">
        <f>ROUND(calls[[#This Row],[Satisfaction Rating]],0)</f>
        <v>3</v>
      </c>
    </row>
    <row r="168" spans="1:11" ht="13.8" x14ac:dyDescent="0.25">
      <c r="A168" t="s">
        <v>197</v>
      </c>
      <c r="B168" t="s">
        <v>17</v>
      </c>
      <c r="C168">
        <v>28</v>
      </c>
      <c r="D168" s="4" t="s">
        <v>32</v>
      </c>
      <c r="E168" s="5">
        <v>44988</v>
      </c>
      <c r="F168">
        <v>84</v>
      </c>
      <c r="G168">
        <v>3.2</v>
      </c>
      <c r="H168">
        <f>IF(MONTH(calls[[#This Row],[Date of Call]])&lt;=6, YEAR(calls[[#This Row],[Date of Call]]), YEAR(calls[[#This Row],[Date of Call]])+1)</f>
        <v>2023</v>
      </c>
      <c r="I168" t="str">
        <f>TEXT(calls[[#This Row],[Date of Call]],"DDDD")</f>
        <v>Friday</v>
      </c>
      <c r="J168" t="str">
        <f t="array" ref="J168">_xlfn.IFS(calls[[#This Row],[Duration]]&lt;=10,"Under 10 mins", calls[[#This Row],[Duration]]&lt;=30, "10 to 30 mins", calls[[#This Row],[Duration]]&lt;=60, "30 to 60 mins", calls[[#This Row],[Duration]]&lt;=120, "1 to 2 hours", TRUE, "More than 2 hours")</f>
        <v>10 to 30 mins</v>
      </c>
      <c r="K168">
        <f>ROUND(calls[[#This Row],[Satisfaction Rating]],0)</f>
        <v>3</v>
      </c>
    </row>
    <row r="169" spans="1:11" ht="13.8" x14ac:dyDescent="0.25">
      <c r="A169" t="s">
        <v>198</v>
      </c>
      <c r="B169" t="s">
        <v>22</v>
      </c>
      <c r="C169">
        <v>139</v>
      </c>
      <c r="D169" s="4" t="s">
        <v>18</v>
      </c>
      <c r="E169" s="5">
        <v>44989</v>
      </c>
      <c r="F169">
        <v>88</v>
      </c>
      <c r="G169">
        <v>3.4</v>
      </c>
      <c r="H169">
        <f>IF(MONTH(calls[[#This Row],[Date of Call]])&lt;=6, YEAR(calls[[#This Row],[Date of Call]]), YEAR(calls[[#This Row],[Date of Call]])+1)</f>
        <v>2023</v>
      </c>
      <c r="I169" t="str">
        <f>TEXT(calls[[#This Row],[Date of Call]],"DDDD")</f>
        <v>Saturday</v>
      </c>
      <c r="J169" t="str">
        <f t="array" ref="J169">_xlfn.IFS(calls[[#This Row],[Duration]]&lt;=10,"Under 10 mins", calls[[#This Row],[Duration]]&lt;=30, "10 to 30 mins", calls[[#This Row],[Duration]]&lt;=60, "30 to 60 mins", calls[[#This Row],[Duration]]&lt;=120, "1 to 2 hours", TRUE, "More than 2 hours")</f>
        <v>More than 2 hours</v>
      </c>
      <c r="K169">
        <f>ROUND(calls[[#This Row],[Satisfaction Rating]],0)</f>
        <v>3</v>
      </c>
    </row>
    <row r="170" spans="1:11" ht="13.8" x14ac:dyDescent="0.25">
      <c r="A170" t="s">
        <v>199</v>
      </c>
      <c r="B170" t="s">
        <v>46</v>
      </c>
      <c r="C170">
        <v>82</v>
      </c>
      <c r="D170" s="4" t="s">
        <v>23</v>
      </c>
      <c r="E170" s="5">
        <v>44989</v>
      </c>
      <c r="F170">
        <v>93</v>
      </c>
      <c r="G170">
        <v>2.7</v>
      </c>
      <c r="H170">
        <f>IF(MONTH(calls[[#This Row],[Date of Call]])&lt;=6, YEAR(calls[[#This Row],[Date of Call]]), YEAR(calls[[#This Row],[Date of Call]])+1)</f>
        <v>2023</v>
      </c>
      <c r="I170" t="str">
        <f>TEXT(calls[[#This Row],[Date of Call]],"DDDD")</f>
        <v>Saturday</v>
      </c>
      <c r="J170" t="str">
        <f t="array" ref="J170">_xlfn.IFS(calls[[#This Row],[Duration]]&lt;=10,"Under 10 mins", calls[[#This Row],[Duration]]&lt;=30, "10 to 30 mins", calls[[#This Row],[Duration]]&lt;=60, "30 to 60 mins", calls[[#This Row],[Duration]]&lt;=120, "1 to 2 hours", TRUE, "More than 2 hours")</f>
        <v>1 to 2 hours</v>
      </c>
      <c r="K170">
        <f>ROUND(calls[[#This Row],[Satisfaction Rating]],0)</f>
        <v>3</v>
      </c>
    </row>
    <row r="171" spans="1:11" ht="13.8" x14ac:dyDescent="0.25">
      <c r="A171" t="s">
        <v>200</v>
      </c>
      <c r="B171" t="s">
        <v>15</v>
      </c>
      <c r="C171">
        <v>101</v>
      </c>
      <c r="D171" s="4" t="s">
        <v>32</v>
      </c>
      <c r="E171" s="5">
        <v>44989</v>
      </c>
      <c r="F171">
        <v>128</v>
      </c>
      <c r="G171">
        <v>5</v>
      </c>
      <c r="H171">
        <f>IF(MONTH(calls[[#This Row],[Date of Call]])&lt;=6, YEAR(calls[[#This Row],[Date of Call]]), YEAR(calls[[#This Row],[Date of Call]])+1)</f>
        <v>2023</v>
      </c>
      <c r="I171" t="str">
        <f>TEXT(calls[[#This Row],[Date of Call]],"DDDD")</f>
        <v>Saturday</v>
      </c>
      <c r="J171" t="str">
        <f t="array" ref="J171">_xlfn.IFS(calls[[#This Row],[Duration]]&lt;=10,"Under 10 mins", calls[[#This Row],[Duration]]&lt;=30, "10 to 30 mins", calls[[#This Row],[Duration]]&lt;=60, "30 to 60 mins", calls[[#This Row],[Duration]]&lt;=120, "1 to 2 hours", TRUE, "More than 2 hours")</f>
        <v>1 to 2 hours</v>
      </c>
      <c r="K171">
        <f>ROUND(calls[[#This Row],[Satisfaction Rating]],0)</f>
        <v>5</v>
      </c>
    </row>
    <row r="172" spans="1:11" ht="13.8" x14ac:dyDescent="0.25">
      <c r="A172" t="s">
        <v>201</v>
      </c>
      <c r="B172" t="s">
        <v>17</v>
      </c>
      <c r="C172">
        <v>75</v>
      </c>
      <c r="D172" s="4" t="s">
        <v>28</v>
      </c>
      <c r="E172" s="5">
        <v>44989</v>
      </c>
      <c r="F172">
        <v>40</v>
      </c>
      <c r="G172">
        <v>3.4</v>
      </c>
      <c r="H172">
        <f>IF(MONTH(calls[[#This Row],[Date of Call]])&lt;=6, YEAR(calls[[#This Row],[Date of Call]]), YEAR(calls[[#This Row],[Date of Call]])+1)</f>
        <v>2023</v>
      </c>
      <c r="I172" t="str">
        <f>TEXT(calls[[#This Row],[Date of Call]],"DDDD")</f>
        <v>Saturday</v>
      </c>
      <c r="J172" t="str">
        <f t="array" ref="J172">_xlfn.IFS(calls[[#This Row],[Duration]]&lt;=10,"Under 10 mins", calls[[#This Row],[Duration]]&lt;=30, "10 to 30 mins", calls[[#This Row],[Duration]]&lt;=60, "30 to 60 mins", calls[[#This Row],[Duration]]&lt;=120, "1 to 2 hours", TRUE, "More than 2 hours")</f>
        <v>1 to 2 hours</v>
      </c>
      <c r="K172">
        <f>ROUND(calls[[#This Row],[Satisfaction Rating]],0)</f>
        <v>3</v>
      </c>
    </row>
    <row r="173" spans="1:11" ht="13.8" x14ac:dyDescent="0.25">
      <c r="A173" t="s">
        <v>202</v>
      </c>
      <c r="B173" t="s">
        <v>31</v>
      </c>
      <c r="C173">
        <v>40</v>
      </c>
      <c r="D173" s="4" t="s">
        <v>32</v>
      </c>
      <c r="E173" s="5">
        <v>44990</v>
      </c>
      <c r="F173">
        <v>92</v>
      </c>
      <c r="G173">
        <v>4.7</v>
      </c>
      <c r="H173">
        <f>IF(MONTH(calls[[#This Row],[Date of Call]])&lt;=6, YEAR(calls[[#This Row],[Date of Call]]), YEAR(calls[[#This Row],[Date of Call]])+1)</f>
        <v>2023</v>
      </c>
      <c r="I173" t="str">
        <f>TEXT(calls[[#This Row],[Date of Call]],"DDDD")</f>
        <v>Sunday</v>
      </c>
      <c r="J173" t="str">
        <f t="array" ref="J173">_xlfn.IFS(calls[[#This Row],[Duration]]&lt;=10,"Under 10 mins", calls[[#This Row],[Duration]]&lt;=30, "10 to 30 mins", calls[[#This Row],[Duration]]&lt;=60, "30 to 60 mins", calls[[#This Row],[Duration]]&lt;=120, "1 to 2 hours", TRUE, "More than 2 hours")</f>
        <v>30 to 60 mins</v>
      </c>
      <c r="K173">
        <f>ROUND(calls[[#This Row],[Satisfaction Rating]],0)</f>
        <v>5</v>
      </c>
    </row>
    <row r="174" spans="1:11" ht="13.8" x14ac:dyDescent="0.25">
      <c r="A174" t="s">
        <v>203</v>
      </c>
      <c r="B174" t="s">
        <v>37</v>
      </c>
      <c r="C174">
        <v>86</v>
      </c>
      <c r="D174" s="4" t="s">
        <v>18</v>
      </c>
      <c r="E174" s="5">
        <v>44990</v>
      </c>
      <c r="F174">
        <v>27</v>
      </c>
      <c r="G174">
        <v>4.5</v>
      </c>
      <c r="H174">
        <f>IF(MONTH(calls[[#This Row],[Date of Call]])&lt;=6, YEAR(calls[[#This Row],[Date of Call]]), YEAR(calls[[#This Row],[Date of Call]])+1)</f>
        <v>2023</v>
      </c>
      <c r="I174" t="str">
        <f>TEXT(calls[[#This Row],[Date of Call]],"DDDD")</f>
        <v>Sunday</v>
      </c>
      <c r="J174" t="str">
        <f t="array" ref="J174">_xlfn.IFS(calls[[#This Row],[Duration]]&lt;=10,"Under 10 mins", calls[[#This Row],[Duration]]&lt;=30, "10 to 30 mins", calls[[#This Row],[Duration]]&lt;=60, "30 to 60 mins", calls[[#This Row],[Duration]]&lt;=120, "1 to 2 hours", TRUE, "More than 2 hours")</f>
        <v>1 to 2 hours</v>
      </c>
      <c r="K174">
        <f>ROUND(calls[[#This Row],[Satisfaction Rating]],0)</f>
        <v>5</v>
      </c>
    </row>
    <row r="175" spans="1:11" ht="13.8" x14ac:dyDescent="0.25">
      <c r="A175" t="s">
        <v>204</v>
      </c>
      <c r="B175" t="s">
        <v>26</v>
      </c>
      <c r="C175">
        <v>131</v>
      </c>
      <c r="D175" s="4" t="s">
        <v>13</v>
      </c>
      <c r="E175" s="5">
        <v>44990</v>
      </c>
      <c r="F175">
        <v>140</v>
      </c>
      <c r="G175">
        <v>4.0999999999999996</v>
      </c>
      <c r="H175">
        <f>IF(MONTH(calls[[#This Row],[Date of Call]])&lt;=6, YEAR(calls[[#This Row],[Date of Call]]), YEAR(calls[[#This Row],[Date of Call]])+1)</f>
        <v>2023</v>
      </c>
      <c r="I175" t="str">
        <f>TEXT(calls[[#This Row],[Date of Call]],"DDDD")</f>
        <v>Sunday</v>
      </c>
      <c r="J175" t="str">
        <f t="array" ref="J175">_xlfn.IFS(calls[[#This Row],[Duration]]&lt;=10,"Under 10 mins", calls[[#This Row],[Duration]]&lt;=30, "10 to 30 mins", calls[[#This Row],[Duration]]&lt;=60, "30 to 60 mins", calls[[#This Row],[Duration]]&lt;=120, "1 to 2 hours", TRUE, "More than 2 hours")</f>
        <v>More than 2 hours</v>
      </c>
      <c r="K175">
        <f>ROUND(calls[[#This Row],[Satisfaction Rating]],0)</f>
        <v>4</v>
      </c>
    </row>
    <row r="176" spans="1:11" ht="13.8" x14ac:dyDescent="0.25">
      <c r="A176" t="s">
        <v>205</v>
      </c>
      <c r="B176" t="s">
        <v>54</v>
      </c>
      <c r="C176">
        <v>67</v>
      </c>
      <c r="D176" s="4" t="s">
        <v>23</v>
      </c>
      <c r="E176" s="5">
        <v>44990</v>
      </c>
      <c r="F176">
        <v>40</v>
      </c>
      <c r="G176">
        <v>5</v>
      </c>
      <c r="H176">
        <f>IF(MONTH(calls[[#This Row],[Date of Call]])&lt;=6, YEAR(calls[[#This Row],[Date of Call]]), YEAR(calls[[#This Row],[Date of Call]])+1)</f>
        <v>2023</v>
      </c>
      <c r="I176" t="str">
        <f>TEXT(calls[[#This Row],[Date of Call]],"DDDD")</f>
        <v>Sunday</v>
      </c>
      <c r="J176" t="str">
        <f t="array" ref="J176">_xlfn.IFS(calls[[#This Row],[Duration]]&lt;=10,"Under 10 mins", calls[[#This Row],[Duration]]&lt;=30, "10 to 30 mins", calls[[#This Row],[Duration]]&lt;=60, "30 to 60 mins", calls[[#This Row],[Duration]]&lt;=120, "1 to 2 hours", TRUE, "More than 2 hours")</f>
        <v>1 to 2 hours</v>
      </c>
      <c r="K176">
        <f>ROUND(calls[[#This Row],[Satisfaction Rating]],0)</f>
        <v>5</v>
      </c>
    </row>
    <row r="177" spans="1:11" ht="13.8" x14ac:dyDescent="0.25">
      <c r="A177" t="s">
        <v>206</v>
      </c>
      <c r="B177" t="s">
        <v>84</v>
      </c>
      <c r="C177">
        <v>71</v>
      </c>
      <c r="D177" s="4" t="s">
        <v>32</v>
      </c>
      <c r="E177" s="5">
        <v>44990</v>
      </c>
      <c r="F177">
        <v>102</v>
      </c>
      <c r="G177">
        <v>4.7</v>
      </c>
      <c r="H177">
        <f>IF(MONTH(calls[[#This Row],[Date of Call]])&lt;=6, YEAR(calls[[#This Row],[Date of Call]]), YEAR(calls[[#This Row],[Date of Call]])+1)</f>
        <v>2023</v>
      </c>
      <c r="I177" t="str">
        <f>TEXT(calls[[#This Row],[Date of Call]],"DDDD")</f>
        <v>Sunday</v>
      </c>
      <c r="J177" t="str">
        <f t="array" ref="J177">_xlfn.IFS(calls[[#This Row],[Duration]]&lt;=10,"Under 10 mins", calls[[#This Row],[Duration]]&lt;=30, "10 to 30 mins", calls[[#This Row],[Duration]]&lt;=60, "30 to 60 mins", calls[[#This Row],[Duration]]&lt;=120, "1 to 2 hours", TRUE, "More than 2 hours")</f>
        <v>1 to 2 hours</v>
      </c>
      <c r="K177">
        <f>ROUND(calls[[#This Row],[Satisfaction Rating]],0)</f>
        <v>5</v>
      </c>
    </row>
    <row r="178" spans="1:11" ht="13.8" x14ac:dyDescent="0.25">
      <c r="A178" t="s">
        <v>207</v>
      </c>
      <c r="B178" t="s">
        <v>26</v>
      </c>
      <c r="C178">
        <v>113</v>
      </c>
      <c r="D178" s="4" t="s">
        <v>13</v>
      </c>
      <c r="E178" s="5">
        <v>44990</v>
      </c>
      <c r="F178">
        <v>42</v>
      </c>
      <c r="G178">
        <v>4.2</v>
      </c>
      <c r="H178">
        <f>IF(MONTH(calls[[#This Row],[Date of Call]])&lt;=6, YEAR(calls[[#This Row],[Date of Call]]), YEAR(calls[[#This Row],[Date of Call]])+1)</f>
        <v>2023</v>
      </c>
      <c r="I178" t="str">
        <f>TEXT(calls[[#This Row],[Date of Call]],"DDDD")</f>
        <v>Sunday</v>
      </c>
      <c r="J178" t="str">
        <f t="array" ref="J178">_xlfn.IFS(calls[[#This Row],[Duration]]&lt;=10,"Under 10 mins", calls[[#This Row],[Duration]]&lt;=30, "10 to 30 mins", calls[[#This Row],[Duration]]&lt;=60, "30 to 60 mins", calls[[#This Row],[Duration]]&lt;=120, "1 to 2 hours", TRUE, "More than 2 hours")</f>
        <v>1 to 2 hours</v>
      </c>
      <c r="K178">
        <f>ROUND(calls[[#This Row],[Satisfaction Rating]],0)</f>
        <v>4</v>
      </c>
    </row>
    <row r="179" spans="1:11" ht="13.8" x14ac:dyDescent="0.25">
      <c r="A179" t="s">
        <v>208</v>
      </c>
      <c r="B179" t="s">
        <v>46</v>
      </c>
      <c r="C179">
        <v>53</v>
      </c>
      <c r="D179" s="4" t="s">
        <v>18</v>
      </c>
      <c r="E179" s="5">
        <v>44991</v>
      </c>
      <c r="F179">
        <v>210</v>
      </c>
      <c r="G179">
        <v>3.9</v>
      </c>
      <c r="H179">
        <f>IF(MONTH(calls[[#This Row],[Date of Call]])&lt;=6, YEAR(calls[[#This Row],[Date of Call]]), YEAR(calls[[#This Row],[Date of Call]])+1)</f>
        <v>2023</v>
      </c>
      <c r="I179" t="str">
        <f>TEXT(calls[[#This Row],[Date of Call]],"DDDD")</f>
        <v>Monday</v>
      </c>
      <c r="J179" t="str">
        <f t="array" ref="J179">_xlfn.IFS(calls[[#This Row],[Duration]]&lt;=10,"Under 10 mins", calls[[#This Row],[Duration]]&lt;=30, "10 to 30 mins", calls[[#This Row],[Duration]]&lt;=60, "30 to 60 mins", calls[[#This Row],[Duration]]&lt;=120, "1 to 2 hours", TRUE, "More than 2 hours")</f>
        <v>30 to 60 mins</v>
      </c>
      <c r="K179">
        <f>ROUND(calls[[#This Row],[Satisfaction Rating]],0)</f>
        <v>4</v>
      </c>
    </row>
    <row r="180" spans="1:11" ht="13.8" x14ac:dyDescent="0.25">
      <c r="A180" t="s">
        <v>209</v>
      </c>
      <c r="B180" t="s">
        <v>26</v>
      </c>
      <c r="C180">
        <v>153</v>
      </c>
      <c r="D180" s="4" t="s">
        <v>23</v>
      </c>
      <c r="E180" s="5">
        <v>44991</v>
      </c>
      <c r="F180">
        <v>34</v>
      </c>
      <c r="G180">
        <v>3</v>
      </c>
      <c r="H180">
        <f>IF(MONTH(calls[[#This Row],[Date of Call]])&lt;=6, YEAR(calls[[#This Row],[Date of Call]]), YEAR(calls[[#This Row],[Date of Call]])+1)</f>
        <v>2023</v>
      </c>
      <c r="I180" t="str">
        <f>TEXT(calls[[#This Row],[Date of Call]],"DDDD")</f>
        <v>Monday</v>
      </c>
      <c r="J180" t="str">
        <f t="array" ref="J180">_xlfn.IFS(calls[[#This Row],[Duration]]&lt;=10,"Under 10 mins", calls[[#This Row],[Duration]]&lt;=30, "10 to 30 mins", calls[[#This Row],[Duration]]&lt;=60, "30 to 60 mins", calls[[#This Row],[Duration]]&lt;=120, "1 to 2 hours", TRUE, "More than 2 hours")</f>
        <v>More than 2 hours</v>
      </c>
      <c r="K180">
        <f>ROUND(calls[[#This Row],[Satisfaction Rating]],0)</f>
        <v>3</v>
      </c>
    </row>
    <row r="181" spans="1:11" ht="13.8" x14ac:dyDescent="0.25">
      <c r="A181" t="s">
        <v>210</v>
      </c>
      <c r="B181" t="s">
        <v>54</v>
      </c>
      <c r="C181">
        <v>73</v>
      </c>
      <c r="D181" s="4" t="s">
        <v>28</v>
      </c>
      <c r="E181" s="5">
        <v>44991</v>
      </c>
      <c r="F181">
        <v>215</v>
      </c>
      <c r="G181">
        <v>3.6</v>
      </c>
      <c r="H181">
        <f>IF(MONTH(calls[[#This Row],[Date of Call]])&lt;=6, YEAR(calls[[#This Row],[Date of Call]]), YEAR(calls[[#This Row],[Date of Call]])+1)</f>
        <v>2023</v>
      </c>
      <c r="I181" t="str">
        <f>TEXT(calls[[#This Row],[Date of Call]],"DDDD")</f>
        <v>Monday</v>
      </c>
      <c r="J181" t="str">
        <f t="array" ref="J181">_xlfn.IFS(calls[[#This Row],[Duration]]&lt;=10,"Under 10 mins", calls[[#This Row],[Duration]]&lt;=30, "10 to 30 mins", calls[[#This Row],[Duration]]&lt;=60, "30 to 60 mins", calls[[#This Row],[Duration]]&lt;=120, "1 to 2 hours", TRUE, "More than 2 hours")</f>
        <v>1 to 2 hours</v>
      </c>
      <c r="K181">
        <f>ROUND(calls[[#This Row],[Satisfaction Rating]],0)</f>
        <v>4</v>
      </c>
    </row>
    <row r="182" spans="1:11" ht="13.8" x14ac:dyDescent="0.25">
      <c r="A182" t="s">
        <v>211</v>
      </c>
      <c r="B182" t="s">
        <v>43</v>
      </c>
      <c r="C182">
        <v>62</v>
      </c>
      <c r="D182" s="4" t="s">
        <v>28</v>
      </c>
      <c r="E182" s="5">
        <v>44991</v>
      </c>
      <c r="F182">
        <v>32</v>
      </c>
      <c r="G182">
        <v>0.7</v>
      </c>
      <c r="H182">
        <f>IF(MONTH(calls[[#This Row],[Date of Call]])&lt;=6, YEAR(calls[[#This Row],[Date of Call]]), YEAR(calls[[#This Row],[Date of Call]])+1)</f>
        <v>2023</v>
      </c>
      <c r="I182" t="str">
        <f>TEXT(calls[[#This Row],[Date of Call]],"DDDD")</f>
        <v>Monday</v>
      </c>
      <c r="J182" t="str">
        <f t="array" ref="J182">_xlfn.IFS(calls[[#This Row],[Duration]]&lt;=10,"Under 10 mins", calls[[#This Row],[Duration]]&lt;=30, "10 to 30 mins", calls[[#This Row],[Duration]]&lt;=60, "30 to 60 mins", calls[[#This Row],[Duration]]&lt;=120, "1 to 2 hours", TRUE, "More than 2 hours")</f>
        <v>1 to 2 hours</v>
      </c>
      <c r="K182">
        <f>ROUND(calls[[#This Row],[Satisfaction Rating]],0)</f>
        <v>1</v>
      </c>
    </row>
    <row r="183" spans="1:11" ht="13.8" x14ac:dyDescent="0.25">
      <c r="A183" t="s">
        <v>212</v>
      </c>
      <c r="B183" t="s">
        <v>22</v>
      </c>
      <c r="C183">
        <v>115</v>
      </c>
      <c r="D183" s="4" t="s">
        <v>18</v>
      </c>
      <c r="E183" s="5">
        <v>44992</v>
      </c>
      <c r="F183">
        <v>48</v>
      </c>
      <c r="G183">
        <v>4.7</v>
      </c>
      <c r="H183">
        <f>IF(MONTH(calls[[#This Row],[Date of Call]])&lt;=6, YEAR(calls[[#This Row],[Date of Call]]), YEAR(calls[[#This Row],[Date of Call]])+1)</f>
        <v>2023</v>
      </c>
      <c r="I183" t="str">
        <f>TEXT(calls[[#This Row],[Date of Call]],"DDDD")</f>
        <v>Tuesday</v>
      </c>
      <c r="J183" t="str">
        <f t="array" ref="J183">_xlfn.IFS(calls[[#This Row],[Duration]]&lt;=10,"Under 10 mins", calls[[#This Row],[Duration]]&lt;=30, "10 to 30 mins", calls[[#This Row],[Duration]]&lt;=60, "30 to 60 mins", calls[[#This Row],[Duration]]&lt;=120, "1 to 2 hours", TRUE, "More than 2 hours")</f>
        <v>1 to 2 hours</v>
      </c>
      <c r="K183">
        <f>ROUND(calls[[#This Row],[Satisfaction Rating]],0)</f>
        <v>5</v>
      </c>
    </row>
    <row r="184" spans="1:11" ht="13.8" x14ac:dyDescent="0.25">
      <c r="A184" t="s">
        <v>213</v>
      </c>
      <c r="B184" t="s">
        <v>26</v>
      </c>
      <c r="C184">
        <v>69</v>
      </c>
      <c r="D184" s="4" t="s">
        <v>18</v>
      </c>
      <c r="E184" s="5">
        <v>44992</v>
      </c>
      <c r="F184">
        <v>132</v>
      </c>
      <c r="G184">
        <v>4.5</v>
      </c>
      <c r="H184">
        <f>IF(MONTH(calls[[#This Row],[Date of Call]])&lt;=6, YEAR(calls[[#This Row],[Date of Call]]), YEAR(calls[[#This Row],[Date of Call]])+1)</f>
        <v>2023</v>
      </c>
      <c r="I184" t="str">
        <f>TEXT(calls[[#This Row],[Date of Call]],"DDDD")</f>
        <v>Tuesday</v>
      </c>
      <c r="J184" t="str">
        <f t="array" ref="J184">_xlfn.IFS(calls[[#This Row],[Duration]]&lt;=10,"Under 10 mins", calls[[#This Row],[Duration]]&lt;=30, "10 to 30 mins", calls[[#This Row],[Duration]]&lt;=60, "30 to 60 mins", calls[[#This Row],[Duration]]&lt;=120, "1 to 2 hours", TRUE, "More than 2 hours")</f>
        <v>1 to 2 hours</v>
      </c>
      <c r="K184">
        <f>ROUND(calls[[#This Row],[Satisfaction Rating]],0)</f>
        <v>5</v>
      </c>
    </row>
    <row r="185" spans="1:11" ht="13.8" x14ac:dyDescent="0.25">
      <c r="A185" t="s">
        <v>214</v>
      </c>
      <c r="B185" t="s">
        <v>37</v>
      </c>
      <c r="C185">
        <v>103</v>
      </c>
      <c r="D185" s="4" t="s">
        <v>13</v>
      </c>
      <c r="E185" s="5">
        <v>44992</v>
      </c>
      <c r="F185">
        <v>172</v>
      </c>
      <c r="G185">
        <v>4.3</v>
      </c>
      <c r="H185">
        <f>IF(MONTH(calls[[#This Row],[Date of Call]])&lt;=6, YEAR(calls[[#This Row],[Date of Call]]), YEAR(calls[[#This Row],[Date of Call]])+1)</f>
        <v>2023</v>
      </c>
      <c r="I185" t="str">
        <f>TEXT(calls[[#This Row],[Date of Call]],"DDDD")</f>
        <v>Tuesday</v>
      </c>
      <c r="J185" t="str">
        <f t="array" ref="J185">_xlfn.IFS(calls[[#This Row],[Duration]]&lt;=10,"Under 10 mins", calls[[#This Row],[Duration]]&lt;=30, "10 to 30 mins", calls[[#This Row],[Duration]]&lt;=60, "30 to 60 mins", calls[[#This Row],[Duration]]&lt;=120, "1 to 2 hours", TRUE, "More than 2 hours")</f>
        <v>1 to 2 hours</v>
      </c>
      <c r="K185">
        <f>ROUND(calls[[#This Row],[Satisfaction Rating]],0)</f>
        <v>4</v>
      </c>
    </row>
    <row r="186" spans="1:11" ht="13.8" x14ac:dyDescent="0.25">
      <c r="A186" t="s">
        <v>215</v>
      </c>
      <c r="B186" t="s">
        <v>37</v>
      </c>
      <c r="C186">
        <v>75</v>
      </c>
      <c r="D186" s="4" t="s">
        <v>13</v>
      </c>
      <c r="E186" s="5">
        <v>44992</v>
      </c>
      <c r="F186">
        <v>111</v>
      </c>
      <c r="G186">
        <v>3.4</v>
      </c>
      <c r="H186">
        <f>IF(MONTH(calls[[#This Row],[Date of Call]])&lt;=6, YEAR(calls[[#This Row],[Date of Call]]), YEAR(calls[[#This Row],[Date of Call]])+1)</f>
        <v>2023</v>
      </c>
      <c r="I186" t="str">
        <f>TEXT(calls[[#This Row],[Date of Call]],"DDDD")</f>
        <v>Tuesday</v>
      </c>
      <c r="J186" t="str">
        <f t="array" ref="J186">_xlfn.IFS(calls[[#This Row],[Duration]]&lt;=10,"Under 10 mins", calls[[#This Row],[Duration]]&lt;=30, "10 to 30 mins", calls[[#This Row],[Duration]]&lt;=60, "30 to 60 mins", calls[[#This Row],[Duration]]&lt;=120, "1 to 2 hours", TRUE, "More than 2 hours")</f>
        <v>1 to 2 hours</v>
      </c>
      <c r="K186">
        <f>ROUND(calls[[#This Row],[Satisfaction Rating]],0)</f>
        <v>3</v>
      </c>
    </row>
    <row r="187" spans="1:11" ht="13.8" x14ac:dyDescent="0.25">
      <c r="A187" t="s">
        <v>216</v>
      </c>
      <c r="B187" t="s">
        <v>35</v>
      </c>
      <c r="C187">
        <v>92</v>
      </c>
      <c r="D187" s="4" t="s">
        <v>13</v>
      </c>
      <c r="E187" s="5">
        <v>44992</v>
      </c>
      <c r="F187">
        <v>58</v>
      </c>
      <c r="G187">
        <v>3.6</v>
      </c>
      <c r="H187">
        <f>IF(MONTH(calls[[#This Row],[Date of Call]])&lt;=6, YEAR(calls[[#This Row],[Date of Call]]), YEAR(calls[[#This Row],[Date of Call]])+1)</f>
        <v>2023</v>
      </c>
      <c r="I187" t="str">
        <f>TEXT(calls[[#This Row],[Date of Call]],"DDDD")</f>
        <v>Tuesday</v>
      </c>
      <c r="J187" t="str">
        <f t="array" ref="J187">_xlfn.IFS(calls[[#This Row],[Duration]]&lt;=10,"Under 10 mins", calls[[#This Row],[Duration]]&lt;=30, "10 to 30 mins", calls[[#This Row],[Duration]]&lt;=60, "30 to 60 mins", calls[[#This Row],[Duration]]&lt;=120, "1 to 2 hours", TRUE, "More than 2 hours")</f>
        <v>1 to 2 hours</v>
      </c>
      <c r="K187">
        <f>ROUND(calls[[#This Row],[Satisfaction Rating]],0)</f>
        <v>4</v>
      </c>
    </row>
    <row r="188" spans="1:11" ht="13.8" x14ac:dyDescent="0.25">
      <c r="A188" t="s">
        <v>217</v>
      </c>
      <c r="B188" t="s">
        <v>35</v>
      </c>
      <c r="C188">
        <v>41</v>
      </c>
      <c r="D188" s="4" t="s">
        <v>28</v>
      </c>
      <c r="E188" s="5">
        <v>44992</v>
      </c>
      <c r="F188">
        <v>68</v>
      </c>
      <c r="G188">
        <v>4</v>
      </c>
      <c r="H188">
        <f>IF(MONTH(calls[[#This Row],[Date of Call]])&lt;=6, YEAR(calls[[#This Row],[Date of Call]]), YEAR(calls[[#This Row],[Date of Call]])+1)</f>
        <v>2023</v>
      </c>
      <c r="I188" t="str">
        <f>TEXT(calls[[#This Row],[Date of Call]],"DDDD")</f>
        <v>Tuesday</v>
      </c>
      <c r="J188" t="str">
        <f t="array" ref="J188">_xlfn.IFS(calls[[#This Row],[Duration]]&lt;=10,"Under 10 mins", calls[[#This Row],[Duration]]&lt;=30, "10 to 30 mins", calls[[#This Row],[Duration]]&lt;=60, "30 to 60 mins", calls[[#This Row],[Duration]]&lt;=120, "1 to 2 hours", TRUE, "More than 2 hours")</f>
        <v>30 to 60 mins</v>
      </c>
      <c r="K188">
        <f>ROUND(calls[[#This Row],[Satisfaction Rating]],0)</f>
        <v>4</v>
      </c>
    </row>
    <row r="189" spans="1:11" ht="13.8" x14ac:dyDescent="0.25">
      <c r="A189" t="s">
        <v>218</v>
      </c>
      <c r="B189" t="s">
        <v>37</v>
      </c>
      <c r="C189">
        <v>134</v>
      </c>
      <c r="D189" s="4" t="s">
        <v>23</v>
      </c>
      <c r="E189" s="5">
        <v>44992</v>
      </c>
      <c r="F189">
        <v>160</v>
      </c>
      <c r="G189">
        <v>4.5</v>
      </c>
      <c r="H189">
        <f>IF(MONTH(calls[[#This Row],[Date of Call]])&lt;=6, YEAR(calls[[#This Row],[Date of Call]]), YEAR(calls[[#This Row],[Date of Call]])+1)</f>
        <v>2023</v>
      </c>
      <c r="I189" t="str">
        <f>TEXT(calls[[#This Row],[Date of Call]],"DDDD")</f>
        <v>Tuesday</v>
      </c>
      <c r="J189" t="str">
        <f t="array" ref="J189">_xlfn.IFS(calls[[#This Row],[Duration]]&lt;=10,"Under 10 mins", calls[[#This Row],[Duration]]&lt;=30, "10 to 30 mins", calls[[#This Row],[Duration]]&lt;=60, "30 to 60 mins", calls[[#This Row],[Duration]]&lt;=120, "1 to 2 hours", TRUE, "More than 2 hours")</f>
        <v>More than 2 hours</v>
      </c>
      <c r="K189">
        <f>ROUND(calls[[#This Row],[Satisfaction Rating]],0)</f>
        <v>5</v>
      </c>
    </row>
    <row r="190" spans="1:11" ht="13.8" x14ac:dyDescent="0.25">
      <c r="A190" t="s">
        <v>219</v>
      </c>
      <c r="B190" t="s">
        <v>64</v>
      </c>
      <c r="C190">
        <v>80</v>
      </c>
      <c r="D190" s="4" t="s">
        <v>32</v>
      </c>
      <c r="E190" s="5">
        <v>44992</v>
      </c>
      <c r="F190">
        <v>45</v>
      </c>
      <c r="G190">
        <v>3</v>
      </c>
      <c r="H190">
        <f>IF(MONTH(calls[[#This Row],[Date of Call]])&lt;=6, YEAR(calls[[#This Row],[Date of Call]]), YEAR(calls[[#This Row],[Date of Call]])+1)</f>
        <v>2023</v>
      </c>
      <c r="I190" t="str">
        <f>TEXT(calls[[#This Row],[Date of Call]],"DDDD")</f>
        <v>Tuesday</v>
      </c>
      <c r="J190" t="str">
        <f t="array" ref="J190">_xlfn.IFS(calls[[#This Row],[Duration]]&lt;=10,"Under 10 mins", calls[[#This Row],[Duration]]&lt;=30, "10 to 30 mins", calls[[#This Row],[Duration]]&lt;=60, "30 to 60 mins", calls[[#This Row],[Duration]]&lt;=120, "1 to 2 hours", TRUE, "More than 2 hours")</f>
        <v>1 to 2 hours</v>
      </c>
      <c r="K190">
        <f>ROUND(calls[[#This Row],[Satisfaction Rating]],0)</f>
        <v>3</v>
      </c>
    </row>
    <row r="191" spans="1:11" ht="13.8" x14ac:dyDescent="0.25">
      <c r="A191" t="s">
        <v>220</v>
      </c>
      <c r="B191" t="s">
        <v>84</v>
      </c>
      <c r="C191">
        <v>103</v>
      </c>
      <c r="D191" s="4" t="s">
        <v>18</v>
      </c>
      <c r="E191" s="5">
        <v>44993</v>
      </c>
      <c r="F191">
        <v>117</v>
      </c>
      <c r="G191">
        <v>3</v>
      </c>
      <c r="H191">
        <f>IF(MONTH(calls[[#This Row],[Date of Call]])&lt;=6, YEAR(calls[[#This Row],[Date of Call]]), YEAR(calls[[#This Row],[Date of Call]])+1)</f>
        <v>2023</v>
      </c>
      <c r="I191" t="str">
        <f>TEXT(calls[[#This Row],[Date of Call]],"DDDD")</f>
        <v>Wednesday</v>
      </c>
      <c r="J191" t="str">
        <f t="array" ref="J191">_xlfn.IFS(calls[[#This Row],[Duration]]&lt;=10,"Under 10 mins", calls[[#This Row],[Duration]]&lt;=30, "10 to 30 mins", calls[[#This Row],[Duration]]&lt;=60, "30 to 60 mins", calls[[#This Row],[Duration]]&lt;=120, "1 to 2 hours", TRUE, "More than 2 hours")</f>
        <v>1 to 2 hours</v>
      </c>
      <c r="K191">
        <f>ROUND(calls[[#This Row],[Satisfaction Rating]],0)</f>
        <v>3</v>
      </c>
    </row>
    <row r="192" spans="1:11" ht="13.8" x14ac:dyDescent="0.25">
      <c r="A192" t="s">
        <v>221</v>
      </c>
      <c r="B192" t="s">
        <v>46</v>
      </c>
      <c r="C192">
        <v>20</v>
      </c>
      <c r="D192" s="4" t="s">
        <v>13</v>
      </c>
      <c r="E192" s="5">
        <v>44994</v>
      </c>
      <c r="F192">
        <v>22</v>
      </c>
      <c r="G192">
        <v>1.6</v>
      </c>
      <c r="H192">
        <f>IF(MONTH(calls[[#This Row],[Date of Call]])&lt;=6, YEAR(calls[[#This Row],[Date of Call]]), YEAR(calls[[#This Row],[Date of Call]])+1)</f>
        <v>2023</v>
      </c>
      <c r="I192" t="str">
        <f>TEXT(calls[[#This Row],[Date of Call]],"DDDD")</f>
        <v>Thursday</v>
      </c>
      <c r="J192" t="str">
        <f t="array" ref="J192">_xlfn.IFS(calls[[#This Row],[Duration]]&lt;=10,"Under 10 mins", calls[[#This Row],[Duration]]&lt;=30, "10 to 30 mins", calls[[#This Row],[Duration]]&lt;=60, "30 to 60 mins", calls[[#This Row],[Duration]]&lt;=120, "1 to 2 hours", TRUE, "More than 2 hours")</f>
        <v>10 to 30 mins</v>
      </c>
      <c r="K192">
        <f>ROUND(calls[[#This Row],[Satisfaction Rating]],0)</f>
        <v>2</v>
      </c>
    </row>
    <row r="193" spans="1:11" ht="13.8" x14ac:dyDescent="0.25">
      <c r="A193" t="s">
        <v>222</v>
      </c>
      <c r="B193" t="s">
        <v>84</v>
      </c>
      <c r="C193">
        <v>75</v>
      </c>
      <c r="D193" s="4" t="s">
        <v>32</v>
      </c>
      <c r="E193" s="5">
        <v>44994</v>
      </c>
      <c r="F193">
        <v>195</v>
      </c>
      <c r="G193">
        <v>3</v>
      </c>
      <c r="H193">
        <f>IF(MONTH(calls[[#This Row],[Date of Call]])&lt;=6, YEAR(calls[[#This Row],[Date of Call]]), YEAR(calls[[#This Row],[Date of Call]])+1)</f>
        <v>2023</v>
      </c>
      <c r="I193" t="str">
        <f>TEXT(calls[[#This Row],[Date of Call]],"DDDD")</f>
        <v>Thursday</v>
      </c>
      <c r="J193" t="str">
        <f t="array" ref="J193">_xlfn.IFS(calls[[#This Row],[Duration]]&lt;=10,"Under 10 mins", calls[[#This Row],[Duration]]&lt;=30, "10 to 30 mins", calls[[#This Row],[Duration]]&lt;=60, "30 to 60 mins", calls[[#This Row],[Duration]]&lt;=120, "1 to 2 hours", TRUE, "More than 2 hours")</f>
        <v>1 to 2 hours</v>
      </c>
      <c r="K193">
        <f>ROUND(calls[[#This Row],[Satisfaction Rating]],0)</f>
        <v>3</v>
      </c>
    </row>
    <row r="194" spans="1:11" ht="13.8" x14ac:dyDescent="0.25">
      <c r="A194" t="s">
        <v>223</v>
      </c>
      <c r="B194" t="s">
        <v>35</v>
      </c>
      <c r="C194">
        <v>80</v>
      </c>
      <c r="D194" s="4" t="s">
        <v>23</v>
      </c>
      <c r="E194" s="5">
        <v>44994</v>
      </c>
      <c r="F194">
        <v>168</v>
      </c>
      <c r="G194">
        <v>3.7</v>
      </c>
      <c r="H194">
        <f>IF(MONTH(calls[[#This Row],[Date of Call]])&lt;=6, YEAR(calls[[#This Row],[Date of Call]]), YEAR(calls[[#This Row],[Date of Call]])+1)</f>
        <v>2023</v>
      </c>
      <c r="I194" t="str">
        <f>TEXT(calls[[#This Row],[Date of Call]],"DDDD")</f>
        <v>Thursday</v>
      </c>
      <c r="J194" t="str">
        <f t="array" ref="J194">_xlfn.IFS(calls[[#This Row],[Duration]]&lt;=10,"Under 10 mins", calls[[#This Row],[Duration]]&lt;=30, "10 to 30 mins", calls[[#This Row],[Duration]]&lt;=60, "30 to 60 mins", calls[[#This Row],[Duration]]&lt;=120, "1 to 2 hours", TRUE, "More than 2 hours")</f>
        <v>1 to 2 hours</v>
      </c>
      <c r="K194">
        <f>ROUND(calls[[#This Row],[Satisfaction Rating]],0)</f>
        <v>4</v>
      </c>
    </row>
    <row r="195" spans="1:11" ht="13.8" x14ac:dyDescent="0.25">
      <c r="A195" t="s">
        <v>224</v>
      </c>
      <c r="B195" t="s">
        <v>26</v>
      </c>
      <c r="C195">
        <v>85</v>
      </c>
      <c r="D195" s="4" t="s">
        <v>28</v>
      </c>
      <c r="E195" s="5">
        <v>44995</v>
      </c>
      <c r="F195">
        <v>46</v>
      </c>
      <c r="G195">
        <v>4.9000000000000004</v>
      </c>
      <c r="H195">
        <f>IF(MONTH(calls[[#This Row],[Date of Call]])&lt;=6, YEAR(calls[[#This Row],[Date of Call]]), YEAR(calls[[#This Row],[Date of Call]])+1)</f>
        <v>2023</v>
      </c>
      <c r="I195" t="str">
        <f>TEXT(calls[[#This Row],[Date of Call]],"DDDD")</f>
        <v>Friday</v>
      </c>
      <c r="J195" t="str">
        <f t="array" ref="J195">_xlfn.IFS(calls[[#This Row],[Duration]]&lt;=10,"Under 10 mins", calls[[#This Row],[Duration]]&lt;=30, "10 to 30 mins", calls[[#This Row],[Duration]]&lt;=60, "30 to 60 mins", calls[[#This Row],[Duration]]&lt;=120, "1 to 2 hours", TRUE, "More than 2 hours")</f>
        <v>1 to 2 hours</v>
      </c>
      <c r="K195">
        <f>ROUND(calls[[#This Row],[Satisfaction Rating]],0)</f>
        <v>5</v>
      </c>
    </row>
    <row r="196" spans="1:11" ht="13.8" x14ac:dyDescent="0.25">
      <c r="A196" t="s">
        <v>225</v>
      </c>
      <c r="B196" t="s">
        <v>15</v>
      </c>
      <c r="C196">
        <v>155</v>
      </c>
      <c r="D196" s="4" t="s">
        <v>13</v>
      </c>
      <c r="E196" s="5">
        <v>44995</v>
      </c>
      <c r="F196">
        <v>164</v>
      </c>
      <c r="G196">
        <v>3.4</v>
      </c>
      <c r="H196">
        <f>IF(MONTH(calls[[#This Row],[Date of Call]])&lt;=6, YEAR(calls[[#This Row],[Date of Call]]), YEAR(calls[[#This Row],[Date of Call]])+1)</f>
        <v>2023</v>
      </c>
      <c r="I196" t="str">
        <f>TEXT(calls[[#This Row],[Date of Call]],"DDDD")</f>
        <v>Friday</v>
      </c>
      <c r="J196" t="str">
        <f t="array" ref="J196">_xlfn.IFS(calls[[#This Row],[Duration]]&lt;=10,"Under 10 mins", calls[[#This Row],[Duration]]&lt;=30, "10 to 30 mins", calls[[#This Row],[Duration]]&lt;=60, "30 to 60 mins", calls[[#This Row],[Duration]]&lt;=120, "1 to 2 hours", TRUE, "More than 2 hours")</f>
        <v>More than 2 hours</v>
      </c>
      <c r="K196">
        <f>ROUND(calls[[#This Row],[Satisfaction Rating]],0)</f>
        <v>3</v>
      </c>
    </row>
    <row r="197" spans="1:11" ht="13.8" x14ac:dyDescent="0.25">
      <c r="A197" t="s">
        <v>226</v>
      </c>
      <c r="B197" t="s">
        <v>26</v>
      </c>
      <c r="C197">
        <v>63</v>
      </c>
      <c r="D197" s="4" t="s">
        <v>28</v>
      </c>
      <c r="E197" s="5">
        <v>44995</v>
      </c>
      <c r="F197">
        <v>48</v>
      </c>
      <c r="G197">
        <v>5</v>
      </c>
      <c r="H197">
        <f>IF(MONTH(calls[[#This Row],[Date of Call]])&lt;=6, YEAR(calls[[#This Row],[Date of Call]]), YEAR(calls[[#This Row],[Date of Call]])+1)</f>
        <v>2023</v>
      </c>
      <c r="I197" t="str">
        <f>TEXT(calls[[#This Row],[Date of Call]],"DDDD")</f>
        <v>Friday</v>
      </c>
      <c r="J197" t="str">
        <f t="array" ref="J197">_xlfn.IFS(calls[[#This Row],[Duration]]&lt;=10,"Under 10 mins", calls[[#This Row],[Duration]]&lt;=30, "10 to 30 mins", calls[[#This Row],[Duration]]&lt;=60, "30 to 60 mins", calls[[#This Row],[Duration]]&lt;=120, "1 to 2 hours", TRUE, "More than 2 hours")</f>
        <v>1 to 2 hours</v>
      </c>
      <c r="K197">
        <f>ROUND(calls[[#This Row],[Satisfaction Rating]],0)</f>
        <v>5</v>
      </c>
    </row>
    <row r="198" spans="1:11" ht="13.8" x14ac:dyDescent="0.25">
      <c r="A198" t="s">
        <v>227</v>
      </c>
      <c r="B198" t="s">
        <v>17</v>
      </c>
      <c r="C198">
        <v>105</v>
      </c>
      <c r="D198" s="4" t="s">
        <v>18</v>
      </c>
      <c r="E198" s="5">
        <v>44995</v>
      </c>
      <c r="F198">
        <v>96</v>
      </c>
      <c r="G198">
        <v>5</v>
      </c>
      <c r="H198">
        <f>IF(MONTH(calls[[#This Row],[Date of Call]])&lt;=6, YEAR(calls[[#This Row],[Date of Call]]), YEAR(calls[[#This Row],[Date of Call]])+1)</f>
        <v>2023</v>
      </c>
      <c r="I198" t="str">
        <f>TEXT(calls[[#This Row],[Date of Call]],"DDDD")</f>
        <v>Friday</v>
      </c>
      <c r="J198" t="str">
        <f t="array" ref="J198">_xlfn.IFS(calls[[#This Row],[Duration]]&lt;=10,"Under 10 mins", calls[[#This Row],[Duration]]&lt;=30, "10 to 30 mins", calls[[#This Row],[Duration]]&lt;=60, "30 to 60 mins", calls[[#This Row],[Duration]]&lt;=120, "1 to 2 hours", TRUE, "More than 2 hours")</f>
        <v>1 to 2 hours</v>
      </c>
      <c r="K198">
        <f>ROUND(calls[[#This Row],[Satisfaction Rating]],0)</f>
        <v>5</v>
      </c>
    </row>
    <row r="199" spans="1:11" ht="13.8" x14ac:dyDescent="0.25">
      <c r="A199" t="s">
        <v>228</v>
      </c>
      <c r="B199" t="s">
        <v>26</v>
      </c>
      <c r="C199">
        <v>71</v>
      </c>
      <c r="D199" s="4" t="s">
        <v>28</v>
      </c>
      <c r="E199" s="5">
        <v>44995</v>
      </c>
      <c r="F199">
        <v>105</v>
      </c>
      <c r="G199">
        <v>4</v>
      </c>
      <c r="H199">
        <f>IF(MONTH(calls[[#This Row],[Date of Call]])&lt;=6, YEAR(calls[[#This Row],[Date of Call]]), YEAR(calls[[#This Row],[Date of Call]])+1)</f>
        <v>2023</v>
      </c>
      <c r="I199" t="str">
        <f>TEXT(calls[[#This Row],[Date of Call]],"DDDD")</f>
        <v>Friday</v>
      </c>
      <c r="J199" t="str">
        <f t="array" ref="J199">_xlfn.IFS(calls[[#This Row],[Duration]]&lt;=10,"Under 10 mins", calls[[#This Row],[Duration]]&lt;=30, "10 to 30 mins", calls[[#This Row],[Duration]]&lt;=60, "30 to 60 mins", calls[[#This Row],[Duration]]&lt;=120, "1 to 2 hours", TRUE, "More than 2 hours")</f>
        <v>1 to 2 hours</v>
      </c>
      <c r="K199">
        <f>ROUND(calls[[#This Row],[Satisfaction Rating]],0)</f>
        <v>4</v>
      </c>
    </row>
    <row r="200" spans="1:11" ht="13.8" x14ac:dyDescent="0.25">
      <c r="A200" t="s">
        <v>229</v>
      </c>
      <c r="B200" t="s">
        <v>15</v>
      </c>
      <c r="C200">
        <v>100</v>
      </c>
      <c r="D200" s="4" t="s">
        <v>28</v>
      </c>
      <c r="E200" s="5">
        <v>44996</v>
      </c>
      <c r="F200">
        <v>44</v>
      </c>
      <c r="G200">
        <v>3.6</v>
      </c>
      <c r="H200">
        <f>IF(MONTH(calls[[#This Row],[Date of Call]])&lt;=6, YEAR(calls[[#This Row],[Date of Call]]), YEAR(calls[[#This Row],[Date of Call]])+1)</f>
        <v>2023</v>
      </c>
      <c r="I200" t="str">
        <f>TEXT(calls[[#This Row],[Date of Call]],"DDDD")</f>
        <v>Saturday</v>
      </c>
      <c r="J200" t="str">
        <f t="array" ref="J200">_xlfn.IFS(calls[[#This Row],[Duration]]&lt;=10,"Under 10 mins", calls[[#This Row],[Duration]]&lt;=30, "10 to 30 mins", calls[[#This Row],[Duration]]&lt;=60, "30 to 60 mins", calls[[#This Row],[Duration]]&lt;=120, "1 to 2 hours", TRUE, "More than 2 hours")</f>
        <v>1 to 2 hours</v>
      </c>
      <c r="K200">
        <f>ROUND(calls[[#This Row],[Satisfaction Rating]],0)</f>
        <v>4</v>
      </c>
    </row>
    <row r="201" spans="1:11" ht="13.8" x14ac:dyDescent="0.25">
      <c r="A201" t="s">
        <v>230</v>
      </c>
      <c r="B201" t="s">
        <v>12</v>
      </c>
      <c r="C201">
        <v>93</v>
      </c>
      <c r="D201" s="4" t="s">
        <v>23</v>
      </c>
      <c r="E201" s="5">
        <v>44996</v>
      </c>
      <c r="F201">
        <v>132</v>
      </c>
      <c r="G201">
        <v>3.7</v>
      </c>
      <c r="H201">
        <f>IF(MONTH(calls[[#This Row],[Date of Call]])&lt;=6, YEAR(calls[[#This Row],[Date of Call]]), YEAR(calls[[#This Row],[Date of Call]])+1)</f>
        <v>2023</v>
      </c>
      <c r="I201" t="str">
        <f>TEXT(calls[[#This Row],[Date of Call]],"DDDD")</f>
        <v>Saturday</v>
      </c>
      <c r="J201" t="str">
        <f t="array" ref="J201">_xlfn.IFS(calls[[#This Row],[Duration]]&lt;=10,"Under 10 mins", calls[[#This Row],[Duration]]&lt;=30, "10 to 30 mins", calls[[#This Row],[Duration]]&lt;=60, "30 to 60 mins", calls[[#This Row],[Duration]]&lt;=120, "1 to 2 hours", TRUE, "More than 2 hours")</f>
        <v>1 to 2 hours</v>
      </c>
      <c r="K201">
        <f>ROUND(calls[[#This Row],[Satisfaction Rating]],0)</f>
        <v>4</v>
      </c>
    </row>
    <row r="202" spans="1:11" ht="13.8" x14ac:dyDescent="0.25">
      <c r="A202" t="s">
        <v>231</v>
      </c>
      <c r="B202" t="s">
        <v>17</v>
      </c>
      <c r="C202">
        <v>84</v>
      </c>
      <c r="D202" s="4" t="s">
        <v>13</v>
      </c>
      <c r="E202" s="5">
        <v>44996</v>
      </c>
      <c r="F202">
        <v>54</v>
      </c>
      <c r="G202">
        <v>4.2</v>
      </c>
      <c r="H202">
        <f>IF(MONTH(calls[[#This Row],[Date of Call]])&lt;=6, YEAR(calls[[#This Row],[Date of Call]]), YEAR(calls[[#This Row],[Date of Call]])+1)</f>
        <v>2023</v>
      </c>
      <c r="I202" t="str">
        <f>TEXT(calls[[#This Row],[Date of Call]],"DDDD")</f>
        <v>Saturday</v>
      </c>
      <c r="J202" t="str">
        <f t="array" ref="J202">_xlfn.IFS(calls[[#This Row],[Duration]]&lt;=10,"Under 10 mins", calls[[#This Row],[Duration]]&lt;=30, "10 to 30 mins", calls[[#This Row],[Duration]]&lt;=60, "30 to 60 mins", calls[[#This Row],[Duration]]&lt;=120, "1 to 2 hours", TRUE, "More than 2 hours")</f>
        <v>1 to 2 hours</v>
      </c>
      <c r="K202">
        <f>ROUND(calls[[#This Row],[Satisfaction Rating]],0)</f>
        <v>4</v>
      </c>
    </row>
    <row r="203" spans="1:11" ht="13.8" x14ac:dyDescent="0.25">
      <c r="A203" t="s">
        <v>232</v>
      </c>
      <c r="B203" t="s">
        <v>64</v>
      </c>
      <c r="C203">
        <v>56</v>
      </c>
      <c r="D203" s="4" t="s">
        <v>32</v>
      </c>
      <c r="E203" s="5">
        <v>44996</v>
      </c>
      <c r="F203">
        <v>129</v>
      </c>
      <c r="G203">
        <v>2.1</v>
      </c>
      <c r="H203">
        <f>IF(MONTH(calls[[#This Row],[Date of Call]])&lt;=6, YEAR(calls[[#This Row],[Date of Call]]), YEAR(calls[[#This Row],[Date of Call]])+1)</f>
        <v>2023</v>
      </c>
      <c r="I203" t="str">
        <f>TEXT(calls[[#This Row],[Date of Call]],"DDDD")</f>
        <v>Saturday</v>
      </c>
      <c r="J203" t="str">
        <f t="array" ref="J203">_xlfn.IFS(calls[[#This Row],[Duration]]&lt;=10,"Under 10 mins", calls[[#This Row],[Duration]]&lt;=30, "10 to 30 mins", calls[[#This Row],[Duration]]&lt;=60, "30 to 60 mins", calls[[#This Row],[Duration]]&lt;=120, "1 to 2 hours", TRUE, "More than 2 hours")</f>
        <v>30 to 60 mins</v>
      </c>
      <c r="K203">
        <f>ROUND(calls[[#This Row],[Satisfaction Rating]],0)</f>
        <v>2</v>
      </c>
    </row>
    <row r="204" spans="1:11" ht="13.8" x14ac:dyDescent="0.25">
      <c r="A204" t="s">
        <v>233</v>
      </c>
      <c r="B204" t="s">
        <v>64</v>
      </c>
      <c r="C204">
        <v>63</v>
      </c>
      <c r="D204" s="4" t="s">
        <v>28</v>
      </c>
      <c r="E204" s="5">
        <v>44996</v>
      </c>
      <c r="F204">
        <v>42</v>
      </c>
      <c r="G204">
        <v>4</v>
      </c>
      <c r="H204">
        <f>IF(MONTH(calls[[#This Row],[Date of Call]])&lt;=6, YEAR(calls[[#This Row],[Date of Call]]), YEAR(calls[[#This Row],[Date of Call]])+1)</f>
        <v>2023</v>
      </c>
      <c r="I204" t="str">
        <f>TEXT(calls[[#This Row],[Date of Call]],"DDDD")</f>
        <v>Saturday</v>
      </c>
      <c r="J204" t="str">
        <f t="array" ref="J204">_xlfn.IFS(calls[[#This Row],[Duration]]&lt;=10,"Under 10 mins", calls[[#This Row],[Duration]]&lt;=30, "10 to 30 mins", calls[[#This Row],[Duration]]&lt;=60, "30 to 60 mins", calls[[#This Row],[Duration]]&lt;=120, "1 to 2 hours", TRUE, "More than 2 hours")</f>
        <v>1 to 2 hours</v>
      </c>
      <c r="K204">
        <f>ROUND(calls[[#This Row],[Satisfaction Rating]],0)</f>
        <v>4</v>
      </c>
    </row>
    <row r="205" spans="1:11" ht="13.8" x14ac:dyDescent="0.25">
      <c r="A205" t="s">
        <v>234</v>
      </c>
      <c r="B205" t="s">
        <v>43</v>
      </c>
      <c r="C205">
        <v>83</v>
      </c>
      <c r="D205" s="4" t="s">
        <v>28</v>
      </c>
      <c r="E205" s="5">
        <v>44996</v>
      </c>
      <c r="F205">
        <v>42</v>
      </c>
      <c r="G205">
        <v>4.2</v>
      </c>
      <c r="H205">
        <f>IF(MONTH(calls[[#This Row],[Date of Call]])&lt;=6, YEAR(calls[[#This Row],[Date of Call]]), YEAR(calls[[#This Row],[Date of Call]])+1)</f>
        <v>2023</v>
      </c>
      <c r="I205" t="str">
        <f>TEXT(calls[[#This Row],[Date of Call]],"DDDD")</f>
        <v>Saturday</v>
      </c>
      <c r="J205" t="str">
        <f t="array" ref="J205">_xlfn.IFS(calls[[#This Row],[Duration]]&lt;=10,"Under 10 mins", calls[[#This Row],[Duration]]&lt;=30, "10 to 30 mins", calls[[#This Row],[Duration]]&lt;=60, "30 to 60 mins", calls[[#This Row],[Duration]]&lt;=120, "1 to 2 hours", TRUE, "More than 2 hours")</f>
        <v>1 to 2 hours</v>
      </c>
      <c r="K205">
        <f>ROUND(calls[[#This Row],[Satisfaction Rating]],0)</f>
        <v>4</v>
      </c>
    </row>
    <row r="206" spans="1:11" ht="13.8" x14ac:dyDescent="0.25">
      <c r="A206" t="s">
        <v>235</v>
      </c>
      <c r="B206" t="s">
        <v>35</v>
      </c>
      <c r="C206">
        <v>134</v>
      </c>
      <c r="D206" s="4" t="s">
        <v>13</v>
      </c>
      <c r="E206" s="5">
        <v>44996</v>
      </c>
      <c r="F206">
        <v>180</v>
      </c>
      <c r="G206">
        <v>3.1</v>
      </c>
      <c r="H206">
        <f>IF(MONTH(calls[[#This Row],[Date of Call]])&lt;=6, YEAR(calls[[#This Row],[Date of Call]]), YEAR(calls[[#This Row],[Date of Call]])+1)</f>
        <v>2023</v>
      </c>
      <c r="I206" t="str">
        <f>TEXT(calls[[#This Row],[Date of Call]],"DDDD")</f>
        <v>Saturday</v>
      </c>
      <c r="J206" t="str">
        <f t="array" ref="J206">_xlfn.IFS(calls[[#This Row],[Duration]]&lt;=10,"Under 10 mins", calls[[#This Row],[Duration]]&lt;=30, "10 to 30 mins", calls[[#This Row],[Duration]]&lt;=60, "30 to 60 mins", calls[[#This Row],[Duration]]&lt;=120, "1 to 2 hours", TRUE, "More than 2 hours")</f>
        <v>More than 2 hours</v>
      </c>
      <c r="K206">
        <f>ROUND(calls[[#This Row],[Satisfaction Rating]],0)</f>
        <v>3</v>
      </c>
    </row>
    <row r="207" spans="1:11" ht="13.8" x14ac:dyDescent="0.25">
      <c r="A207" t="s">
        <v>236</v>
      </c>
      <c r="B207" t="s">
        <v>22</v>
      </c>
      <c r="C207">
        <v>73</v>
      </c>
      <c r="D207" s="4" t="s">
        <v>28</v>
      </c>
      <c r="E207" s="5">
        <v>44997</v>
      </c>
      <c r="F207">
        <v>34</v>
      </c>
      <c r="G207">
        <v>4.8</v>
      </c>
      <c r="H207">
        <f>IF(MONTH(calls[[#This Row],[Date of Call]])&lt;=6, YEAR(calls[[#This Row],[Date of Call]]), YEAR(calls[[#This Row],[Date of Call]])+1)</f>
        <v>2023</v>
      </c>
      <c r="I207" t="str">
        <f>TEXT(calls[[#This Row],[Date of Call]],"DDDD")</f>
        <v>Sunday</v>
      </c>
      <c r="J207" t="str">
        <f t="array" ref="J207">_xlfn.IFS(calls[[#This Row],[Duration]]&lt;=10,"Under 10 mins", calls[[#This Row],[Duration]]&lt;=30, "10 to 30 mins", calls[[#This Row],[Duration]]&lt;=60, "30 to 60 mins", calls[[#This Row],[Duration]]&lt;=120, "1 to 2 hours", TRUE, "More than 2 hours")</f>
        <v>1 to 2 hours</v>
      </c>
      <c r="K207">
        <f>ROUND(calls[[#This Row],[Satisfaction Rating]],0)</f>
        <v>5</v>
      </c>
    </row>
    <row r="208" spans="1:11" ht="13.8" x14ac:dyDescent="0.25">
      <c r="A208" t="s">
        <v>237</v>
      </c>
      <c r="B208" t="s">
        <v>84</v>
      </c>
      <c r="C208">
        <v>6</v>
      </c>
      <c r="D208" s="4" t="s">
        <v>32</v>
      </c>
      <c r="E208" s="5">
        <v>44997</v>
      </c>
      <c r="F208">
        <v>29</v>
      </c>
      <c r="G208">
        <v>4.7</v>
      </c>
      <c r="H208">
        <f>IF(MONTH(calls[[#This Row],[Date of Call]])&lt;=6, YEAR(calls[[#This Row],[Date of Call]]), YEAR(calls[[#This Row],[Date of Call]])+1)</f>
        <v>2023</v>
      </c>
      <c r="I208" t="str">
        <f>TEXT(calls[[#This Row],[Date of Call]],"DDDD")</f>
        <v>Sunday</v>
      </c>
      <c r="J208" t="str">
        <f t="array" ref="J208">_xlfn.IFS(calls[[#This Row],[Duration]]&lt;=10,"Under 10 mins", calls[[#This Row],[Duration]]&lt;=30, "10 to 30 mins", calls[[#This Row],[Duration]]&lt;=60, "30 to 60 mins", calls[[#This Row],[Duration]]&lt;=120, "1 to 2 hours", TRUE, "More than 2 hours")</f>
        <v>Under 10 mins</v>
      </c>
      <c r="K208">
        <f>ROUND(calls[[#This Row],[Satisfaction Rating]],0)</f>
        <v>5</v>
      </c>
    </row>
    <row r="209" spans="1:11" ht="13.8" x14ac:dyDescent="0.25">
      <c r="A209" t="s">
        <v>238</v>
      </c>
      <c r="B209" t="s">
        <v>54</v>
      </c>
      <c r="C209">
        <v>46</v>
      </c>
      <c r="D209" s="4" t="s">
        <v>18</v>
      </c>
      <c r="E209" s="5">
        <v>44997</v>
      </c>
      <c r="F209">
        <v>165</v>
      </c>
      <c r="G209">
        <v>3.3</v>
      </c>
      <c r="H209">
        <f>IF(MONTH(calls[[#This Row],[Date of Call]])&lt;=6, YEAR(calls[[#This Row],[Date of Call]]), YEAR(calls[[#This Row],[Date of Call]])+1)</f>
        <v>2023</v>
      </c>
      <c r="I209" t="str">
        <f>TEXT(calls[[#This Row],[Date of Call]],"DDDD")</f>
        <v>Sunday</v>
      </c>
      <c r="J209" t="str">
        <f t="array" ref="J209">_xlfn.IFS(calls[[#This Row],[Duration]]&lt;=10,"Under 10 mins", calls[[#This Row],[Duration]]&lt;=30, "10 to 30 mins", calls[[#This Row],[Duration]]&lt;=60, "30 to 60 mins", calls[[#This Row],[Duration]]&lt;=120, "1 to 2 hours", TRUE, "More than 2 hours")</f>
        <v>30 to 60 mins</v>
      </c>
      <c r="K209">
        <f>ROUND(calls[[#This Row],[Satisfaction Rating]],0)</f>
        <v>3</v>
      </c>
    </row>
    <row r="210" spans="1:11" ht="13.8" x14ac:dyDescent="0.25">
      <c r="A210" t="s">
        <v>239</v>
      </c>
      <c r="B210" t="s">
        <v>84</v>
      </c>
      <c r="C210">
        <v>121</v>
      </c>
      <c r="D210" s="4" t="s">
        <v>28</v>
      </c>
      <c r="E210" s="5">
        <v>44998</v>
      </c>
      <c r="F210">
        <v>32</v>
      </c>
      <c r="G210">
        <v>3.7</v>
      </c>
      <c r="H210">
        <f>IF(MONTH(calls[[#This Row],[Date of Call]])&lt;=6, YEAR(calls[[#This Row],[Date of Call]]), YEAR(calls[[#This Row],[Date of Call]])+1)</f>
        <v>2023</v>
      </c>
      <c r="I210" t="str">
        <f>TEXT(calls[[#This Row],[Date of Call]],"DDDD")</f>
        <v>Monday</v>
      </c>
      <c r="J210" t="str">
        <f t="array" ref="J210">_xlfn.IFS(calls[[#This Row],[Duration]]&lt;=10,"Under 10 mins", calls[[#This Row],[Duration]]&lt;=30, "10 to 30 mins", calls[[#This Row],[Duration]]&lt;=60, "30 to 60 mins", calls[[#This Row],[Duration]]&lt;=120, "1 to 2 hours", TRUE, "More than 2 hours")</f>
        <v>More than 2 hours</v>
      </c>
      <c r="K210">
        <f>ROUND(calls[[#This Row],[Satisfaction Rating]],0)</f>
        <v>4</v>
      </c>
    </row>
    <row r="211" spans="1:11" ht="13.8" x14ac:dyDescent="0.25">
      <c r="A211" t="s">
        <v>240</v>
      </c>
      <c r="B211" t="s">
        <v>64</v>
      </c>
      <c r="C211">
        <v>61</v>
      </c>
      <c r="D211" s="4" t="s">
        <v>23</v>
      </c>
      <c r="E211" s="5">
        <v>44998</v>
      </c>
      <c r="F211">
        <v>160</v>
      </c>
      <c r="G211">
        <v>4.9000000000000004</v>
      </c>
      <c r="H211">
        <f>IF(MONTH(calls[[#This Row],[Date of Call]])&lt;=6, YEAR(calls[[#This Row],[Date of Call]]), YEAR(calls[[#This Row],[Date of Call]])+1)</f>
        <v>2023</v>
      </c>
      <c r="I211" t="str">
        <f>TEXT(calls[[#This Row],[Date of Call]],"DDDD")</f>
        <v>Monday</v>
      </c>
      <c r="J211" t="str">
        <f t="array" ref="J211">_xlfn.IFS(calls[[#This Row],[Duration]]&lt;=10,"Under 10 mins", calls[[#This Row],[Duration]]&lt;=30, "10 to 30 mins", calls[[#This Row],[Duration]]&lt;=60, "30 to 60 mins", calls[[#This Row],[Duration]]&lt;=120, "1 to 2 hours", TRUE, "More than 2 hours")</f>
        <v>1 to 2 hours</v>
      </c>
      <c r="K211">
        <f>ROUND(calls[[#This Row],[Satisfaction Rating]],0)</f>
        <v>5</v>
      </c>
    </row>
    <row r="212" spans="1:11" ht="13.8" x14ac:dyDescent="0.25">
      <c r="A212" t="s">
        <v>241</v>
      </c>
      <c r="B212" t="s">
        <v>35</v>
      </c>
      <c r="C212">
        <v>144</v>
      </c>
      <c r="D212" s="4" t="s">
        <v>13</v>
      </c>
      <c r="E212" s="5">
        <v>44998</v>
      </c>
      <c r="F212">
        <v>140</v>
      </c>
      <c r="G212">
        <v>3.5</v>
      </c>
      <c r="H212">
        <f>IF(MONTH(calls[[#This Row],[Date of Call]])&lt;=6, YEAR(calls[[#This Row],[Date of Call]]), YEAR(calls[[#This Row],[Date of Call]])+1)</f>
        <v>2023</v>
      </c>
      <c r="I212" t="str">
        <f>TEXT(calls[[#This Row],[Date of Call]],"DDDD")</f>
        <v>Monday</v>
      </c>
      <c r="J212" t="str">
        <f t="array" ref="J212">_xlfn.IFS(calls[[#This Row],[Duration]]&lt;=10,"Under 10 mins", calls[[#This Row],[Duration]]&lt;=30, "10 to 30 mins", calls[[#This Row],[Duration]]&lt;=60, "30 to 60 mins", calls[[#This Row],[Duration]]&lt;=120, "1 to 2 hours", TRUE, "More than 2 hours")</f>
        <v>More than 2 hours</v>
      </c>
      <c r="K212">
        <f>ROUND(calls[[#This Row],[Satisfaction Rating]],0)</f>
        <v>4</v>
      </c>
    </row>
    <row r="213" spans="1:11" ht="13.8" x14ac:dyDescent="0.25">
      <c r="A213" t="s">
        <v>242</v>
      </c>
      <c r="B213" t="s">
        <v>54</v>
      </c>
      <c r="C213">
        <v>145</v>
      </c>
      <c r="D213" s="4" t="s">
        <v>13</v>
      </c>
      <c r="E213" s="5">
        <v>44998</v>
      </c>
      <c r="F213">
        <v>136</v>
      </c>
      <c r="G213">
        <v>4.4000000000000004</v>
      </c>
      <c r="H213">
        <f>IF(MONTH(calls[[#This Row],[Date of Call]])&lt;=6, YEAR(calls[[#This Row],[Date of Call]]), YEAR(calls[[#This Row],[Date of Call]])+1)</f>
        <v>2023</v>
      </c>
      <c r="I213" t="str">
        <f>TEXT(calls[[#This Row],[Date of Call]],"DDDD")</f>
        <v>Monday</v>
      </c>
      <c r="J213" t="str">
        <f t="array" ref="J213">_xlfn.IFS(calls[[#This Row],[Duration]]&lt;=10,"Under 10 mins", calls[[#This Row],[Duration]]&lt;=30, "10 to 30 mins", calls[[#This Row],[Duration]]&lt;=60, "30 to 60 mins", calls[[#This Row],[Duration]]&lt;=120, "1 to 2 hours", TRUE, "More than 2 hours")</f>
        <v>More than 2 hours</v>
      </c>
      <c r="K213">
        <f>ROUND(calls[[#This Row],[Satisfaction Rating]],0)</f>
        <v>4</v>
      </c>
    </row>
    <row r="214" spans="1:11" ht="13.8" x14ac:dyDescent="0.25">
      <c r="A214" t="s">
        <v>243</v>
      </c>
      <c r="B214" t="s">
        <v>17</v>
      </c>
      <c r="C214">
        <v>85</v>
      </c>
      <c r="D214" s="4" t="s">
        <v>32</v>
      </c>
      <c r="E214" s="5">
        <v>44998</v>
      </c>
      <c r="F214">
        <v>66</v>
      </c>
      <c r="G214">
        <v>2.8</v>
      </c>
      <c r="H214">
        <f>IF(MONTH(calls[[#This Row],[Date of Call]])&lt;=6, YEAR(calls[[#This Row],[Date of Call]]), YEAR(calls[[#This Row],[Date of Call]])+1)</f>
        <v>2023</v>
      </c>
      <c r="I214" t="str">
        <f>TEXT(calls[[#This Row],[Date of Call]],"DDDD")</f>
        <v>Monday</v>
      </c>
      <c r="J214" t="str">
        <f t="array" ref="J214">_xlfn.IFS(calls[[#This Row],[Duration]]&lt;=10,"Under 10 mins", calls[[#This Row],[Duration]]&lt;=30, "10 to 30 mins", calls[[#This Row],[Duration]]&lt;=60, "30 to 60 mins", calls[[#This Row],[Duration]]&lt;=120, "1 to 2 hours", TRUE, "More than 2 hours")</f>
        <v>1 to 2 hours</v>
      </c>
      <c r="K214">
        <f>ROUND(calls[[#This Row],[Satisfaction Rating]],0)</f>
        <v>3</v>
      </c>
    </row>
    <row r="215" spans="1:11" ht="13.8" x14ac:dyDescent="0.25">
      <c r="A215" t="s">
        <v>244</v>
      </c>
      <c r="B215" t="s">
        <v>54</v>
      </c>
      <c r="C215">
        <v>13</v>
      </c>
      <c r="D215" s="4" t="s">
        <v>23</v>
      </c>
      <c r="E215" s="5">
        <v>44999</v>
      </c>
      <c r="F215">
        <v>63</v>
      </c>
      <c r="G215">
        <v>4.0999999999999996</v>
      </c>
      <c r="H215">
        <f>IF(MONTH(calls[[#This Row],[Date of Call]])&lt;=6, YEAR(calls[[#This Row],[Date of Call]]), YEAR(calls[[#This Row],[Date of Call]])+1)</f>
        <v>2023</v>
      </c>
      <c r="I215" t="str">
        <f>TEXT(calls[[#This Row],[Date of Call]],"DDDD")</f>
        <v>Tuesday</v>
      </c>
      <c r="J215" t="str">
        <f t="array" ref="J215">_xlfn.IFS(calls[[#This Row],[Duration]]&lt;=10,"Under 10 mins", calls[[#This Row],[Duration]]&lt;=30, "10 to 30 mins", calls[[#This Row],[Duration]]&lt;=60, "30 to 60 mins", calls[[#This Row],[Duration]]&lt;=120, "1 to 2 hours", TRUE, "More than 2 hours")</f>
        <v>10 to 30 mins</v>
      </c>
      <c r="K215">
        <f>ROUND(calls[[#This Row],[Satisfaction Rating]],0)</f>
        <v>4</v>
      </c>
    </row>
    <row r="216" spans="1:11" ht="13.8" x14ac:dyDescent="0.25">
      <c r="A216" t="s">
        <v>245</v>
      </c>
      <c r="B216" t="s">
        <v>12</v>
      </c>
      <c r="C216">
        <v>142</v>
      </c>
      <c r="D216" s="4" t="s">
        <v>28</v>
      </c>
      <c r="E216" s="5">
        <v>44999</v>
      </c>
      <c r="F216">
        <v>44</v>
      </c>
      <c r="G216">
        <v>3.5</v>
      </c>
      <c r="H216">
        <f>IF(MONTH(calls[[#This Row],[Date of Call]])&lt;=6, YEAR(calls[[#This Row],[Date of Call]]), YEAR(calls[[#This Row],[Date of Call]])+1)</f>
        <v>2023</v>
      </c>
      <c r="I216" t="str">
        <f>TEXT(calls[[#This Row],[Date of Call]],"DDDD")</f>
        <v>Tuesday</v>
      </c>
      <c r="J216" t="str">
        <f t="array" ref="J216">_xlfn.IFS(calls[[#This Row],[Duration]]&lt;=10,"Under 10 mins", calls[[#This Row],[Duration]]&lt;=30, "10 to 30 mins", calls[[#This Row],[Duration]]&lt;=60, "30 to 60 mins", calls[[#This Row],[Duration]]&lt;=120, "1 to 2 hours", TRUE, "More than 2 hours")</f>
        <v>More than 2 hours</v>
      </c>
      <c r="K216">
        <f>ROUND(calls[[#This Row],[Satisfaction Rating]],0)</f>
        <v>4</v>
      </c>
    </row>
    <row r="217" spans="1:11" ht="13.8" x14ac:dyDescent="0.25">
      <c r="A217" t="s">
        <v>246</v>
      </c>
      <c r="B217" t="s">
        <v>35</v>
      </c>
      <c r="C217">
        <v>28</v>
      </c>
      <c r="D217" s="4" t="s">
        <v>18</v>
      </c>
      <c r="E217" s="5">
        <v>44999</v>
      </c>
      <c r="F217">
        <v>78</v>
      </c>
      <c r="G217">
        <v>3.8</v>
      </c>
      <c r="H217">
        <f>IF(MONTH(calls[[#This Row],[Date of Call]])&lt;=6, YEAR(calls[[#This Row],[Date of Call]]), YEAR(calls[[#This Row],[Date of Call]])+1)</f>
        <v>2023</v>
      </c>
      <c r="I217" t="str">
        <f>TEXT(calls[[#This Row],[Date of Call]],"DDDD")</f>
        <v>Tuesday</v>
      </c>
      <c r="J217" t="str">
        <f t="array" ref="J217">_xlfn.IFS(calls[[#This Row],[Duration]]&lt;=10,"Under 10 mins", calls[[#This Row],[Duration]]&lt;=30, "10 to 30 mins", calls[[#This Row],[Duration]]&lt;=60, "30 to 60 mins", calls[[#This Row],[Duration]]&lt;=120, "1 to 2 hours", TRUE, "More than 2 hours")</f>
        <v>10 to 30 mins</v>
      </c>
      <c r="K217">
        <f>ROUND(calls[[#This Row],[Satisfaction Rating]],0)</f>
        <v>4</v>
      </c>
    </row>
    <row r="218" spans="1:11" ht="13.8" x14ac:dyDescent="0.25">
      <c r="A218" t="s">
        <v>247</v>
      </c>
      <c r="B218" t="s">
        <v>35</v>
      </c>
      <c r="C218">
        <v>119</v>
      </c>
      <c r="D218" s="4" t="s">
        <v>28</v>
      </c>
      <c r="E218" s="5">
        <v>44999</v>
      </c>
      <c r="F218">
        <v>20</v>
      </c>
      <c r="G218">
        <v>3.9</v>
      </c>
      <c r="H218">
        <f>IF(MONTH(calls[[#This Row],[Date of Call]])&lt;=6, YEAR(calls[[#This Row],[Date of Call]]), YEAR(calls[[#This Row],[Date of Call]])+1)</f>
        <v>2023</v>
      </c>
      <c r="I218" t="str">
        <f>TEXT(calls[[#This Row],[Date of Call]],"DDDD")</f>
        <v>Tuesday</v>
      </c>
      <c r="J218" t="str">
        <f t="array" ref="J218">_xlfn.IFS(calls[[#This Row],[Duration]]&lt;=10,"Under 10 mins", calls[[#This Row],[Duration]]&lt;=30, "10 to 30 mins", calls[[#This Row],[Duration]]&lt;=60, "30 to 60 mins", calls[[#This Row],[Duration]]&lt;=120, "1 to 2 hours", TRUE, "More than 2 hours")</f>
        <v>1 to 2 hours</v>
      </c>
      <c r="K218">
        <f>ROUND(calls[[#This Row],[Satisfaction Rating]],0)</f>
        <v>4</v>
      </c>
    </row>
    <row r="219" spans="1:11" ht="13.8" x14ac:dyDescent="0.25">
      <c r="A219" t="s">
        <v>248</v>
      </c>
      <c r="B219" t="s">
        <v>84</v>
      </c>
      <c r="C219">
        <v>65</v>
      </c>
      <c r="D219" s="4" t="s">
        <v>32</v>
      </c>
      <c r="E219" s="5">
        <v>44999</v>
      </c>
      <c r="F219">
        <v>84</v>
      </c>
      <c r="G219">
        <v>2.5</v>
      </c>
      <c r="H219">
        <f>IF(MONTH(calls[[#This Row],[Date of Call]])&lt;=6, YEAR(calls[[#This Row],[Date of Call]]), YEAR(calls[[#This Row],[Date of Call]])+1)</f>
        <v>2023</v>
      </c>
      <c r="I219" t="str">
        <f>TEXT(calls[[#This Row],[Date of Call]],"DDDD")</f>
        <v>Tuesday</v>
      </c>
      <c r="J219" t="str">
        <f t="array" ref="J219">_xlfn.IFS(calls[[#This Row],[Duration]]&lt;=10,"Under 10 mins", calls[[#This Row],[Duration]]&lt;=30, "10 to 30 mins", calls[[#This Row],[Duration]]&lt;=60, "30 to 60 mins", calls[[#This Row],[Duration]]&lt;=120, "1 to 2 hours", TRUE, "More than 2 hours")</f>
        <v>1 to 2 hours</v>
      </c>
      <c r="K219">
        <f>ROUND(calls[[#This Row],[Satisfaction Rating]],0)</f>
        <v>3</v>
      </c>
    </row>
    <row r="220" spans="1:11" ht="13.8" x14ac:dyDescent="0.25">
      <c r="A220" t="s">
        <v>249</v>
      </c>
      <c r="B220" t="s">
        <v>37</v>
      </c>
      <c r="C220">
        <v>68</v>
      </c>
      <c r="D220" s="4" t="s">
        <v>32</v>
      </c>
      <c r="E220" s="5">
        <v>44999</v>
      </c>
      <c r="F220">
        <v>32</v>
      </c>
      <c r="G220">
        <v>4.9000000000000004</v>
      </c>
      <c r="H220">
        <f>IF(MONTH(calls[[#This Row],[Date of Call]])&lt;=6, YEAR(calls[[#This Row],[Date of Call]]), YEAR(calls[[#This Row],[Date of Call]])+1)</f>
        <v>2023</v>
      </c>
      <c r="I220" t="str">
        <f>TEXT(calls[[#This Row],[Date of Call]],"DDDD")</f>
        <v>Tuesday</v>
      </c>
      <c r="J220" t="str">
        <f t="array" ref="J220">_xlfn.IFS(calls[[#This Row],[Duration]]&lt;=10,"Under 10 mins", calls[[#This Row],[Duration]]&lt;=30, "10 to 30 mins", calls[[#This Row],[Duration]]&lt;=60, "30 to 60 mins", calls[[#This Row],[Duration]]&lt;=120, "1 to 2 hours", TRUE, "More than 2 hours")</f>
        <v>1 to 2 hours</v>
      </c>
      <c r="K220">
        <f>ROUND(calls[[#This Row],[Satisfaction Rating]],0)</f>
        <v>5</v>
      </c>
    </row>
    <row r="221" spans="1:11" ht="13.8" x14ac:dyDescent="0.25">
      <c r="A221" t="s">
        <v>250</v>
      </c>
      <c r="B221" t="s">
        <v>43</v>
      </c>
      <c r="C221">
        <v>72</v>
      </c>
      <c r="D221" s="4" t="s">
        <v>18</v>
      </c>
      <c r="E221" s="5">
        <v>44999</v>
      </c>
      <c r="F221">
        <v>132</v>
      </c>
      <c r="G221">
        <v>3.4</v>
      </c>
      <c r="H221">
        <f>IF(MONTH(calls[[#This Row],[Date of Call]])&lt;=6, YEAR(calls[[#This Row],[Date of Call]]), YEAR(calls[[#This Row],[Date of Call]])+1)</f>
        <v>2023</v>
      </c>
      <c r="I221" t="str">
        <f>TEXT(calls[[#This Row],[Date of Call]],"DDDD")</f>
        <v>Tuesday</v>
      </c>
      <c r="J221" t="str">
        <f t="array" ref="J221">_xlfn.IFS(calls[[#This Row],[Duration]]&lt;=10,"Under 10 mins", calls[[#This Row],[Duration]]&lt;=30, "10 to 30 mins", calls[[#This Row],[Duration]]&lt;=60, "30 to 60 mins", calls[[#This Row],[Duration]]&lt;=120, "1 to 2 hours", TRUE, "More than 2 hours")</f>
        <v>1 to 2 hours</v>
      </c>
      <c r="K221">
        <f>ROUND(calls[[#This Row],[Satisfaction Rating]],0)</f>
        <v>3</v>
      </c>
    </row>
    <row r="222" spans="1:11" ht="13.8" x14ac:dyDescent="0.25">
      <c r="A222" t="s">
        <v>251</v>
      </c>
      <c r="B222" t="s">
        <v>43</v>
      </c>
      <c r="C222">
        <v>63</v>
      </c>
      <c r="D222" s="4" t="s">
        <v>13</v>
      </c>
      <c r="E222" s="5">
        <v>44999</v>
      </c>
      <c r="F222">
        <v>105</v>
      </c>
      <c r="G222">
        <v>3.3</v>
      </c>
      <c r="H222">
        <f>IF(MONTH(calls[[#This Row],[Date of Call]])&lt;=6, YEAR(calls[[#This Row],[Date of Call]]), YEAR(calls[[#This Row],[Date of Call]])+1)</f>
        <v>2023</v>
      </c>
      <c r="I222" t="str">
        <f>TEXT(calls[[#This Row],[Date of Call]],"DDDD")</f>
        <v>Tuesday</v>
      </c>
      <c r="J222" t="str">
        <f t="array" ref="J222">_xlfn.IFS(calls[[#This Row],[Duration]]&lt;=10,"Under 10 mins", calls[[#This Row],[Duration]]&lt;=30, "10 to 30 mins", calls[[#This Row],[Duration]]&lt;=60, "30 to 60 mins", calls[[#This Row],[Duration]]&lt;=120, "1 to 2 hours", TRUE, "More than 2 hours")</f>
        <v>1 to 2 hours</v>
      </c>
      <c r="K222">
        <f>ROUND(calls[[#This Row],[Satisfaction Rating]],0)</f>
        <v>3</v>
      </c>
    </row>
    <row r="223" spans="1:11" ht="13.8" x14ac:dyDescent="0.25">
      <c r="A223" t="s">
        <v>252</v>
      </c>
      <c r="B223" t="s">
        <v>15</v>
      </c>
      <c r="C223">
        <v>139</v>
      </c>
      <c r="D223" s="4" t="s">
        <v>28</v>
      </c>
      <c r="E223" s="5">
        <v>45000</v>
      </c>
      <c r="F223">
        <v>48</v>
      </c>
      <c r="G223">
        <v>4.7</v>
      </c>
      <c r="H223">
        <f>IF(MONTH(calls[[#This Row],[Date of Call]])&lt;=6, YEAR(calls[[#This Row],[Date of Call]]), YEAR(calls[[#This Row],[Date of Call]])+1)</f>
        <v>2023</v>
      </c>
      <c r="I223" t="str">
        <f>TEXT(calls[[#This Row],[Date of Call]],"DDDD")</f>
        <v>Wednesday</v>
      </c>
      <c r="J223" t="str">
        <f t="array" ref="J223">_xlfn.IFS(calls[[#This Row],[Duration]]&lt;=10,"Under 10 mins", calls[[#This Row],[Duration]]&lt;=30, "10 to 30 mins", calls[[#This Row],[Duration]]&lt;=60, "30 to 60 mins", calls[[#This Row],[Duration]]&lt;=120, "1 to 2 hours", TRUE, "More than 2 hours")</f>
        <v>More than 2 hours</v>
      </c>
      <c r="K223">
        <f>ROUND(calls[[#This Row],[Satisfaction Rating]],0)</f>
        <v>5</v>
      </c>
    </row>
    <row r="224" spans="1:11" ht="13.8" x14ac:dyDescent="0.25">
      <c r="A224" t="s">
        <v>253</v>
      </c>
      <c r="B224" t="s">
        <v>35</v>
      </c>
      <c r="C224">
        <v>59</v>
      </c>
      <c r="D224" s="4" t="s">
        <v>28</v>
      </c>
      <c r="E224" s="5">
        <v>45000</v>
      </c>
      <c r="F224">
        <v>64</v>
      </c>
      <c r="G224">
        <v>4</v>
      </c>
      <c r="H224">
        <f>IF(MONTH(calls[[#This Row],[Date of Call]])&lt;=6, YEAR(calls[[#This Row],[Date of Call]]), YEAR(calls[[#This Row],[Date of Call]])+1)</f>
        <v>2023</v>
      </c>
      <c r="I224" t="str">
        <f>TEXT(calls[[#This Row],[Date of Call]],"DDDD")</f>
        <v>Wednesday</v>
      </c>
      <c r="J224" t="str">
        <f t="array" ref="J224">_xlfn.IFS(calls[[#This Row],[Duration]]&lt;=10,"Under 10 mins", calls[[#This Row],[Duration]]&lt;=30, "10 to 30 mins", calls[[#This Row],[Duration]]&lt;=60, "30 to 60 mins", calls[[#This Row],[Duration]]&lt;=120, "1 to 2 hours", TRUE, "More than 2 hours")</f>
        <v>30 to 60 mins</v>
      </c>
      <c r="K224">
        <f>ROUND(calls[[#This Row],[Satisfaction Rating]],0)</f>
        <v>4</v>
      </c>
    </row>
    <row r="225" spans="1:11" ht="13.8" x14ac:dyDescent="0.25">
      <c r="A225" t="s">
        <v>254</v>
      </c>
      <c r="B225" t="s">
        <v>46</v>
      </c>
      <c r="C225">
        <v>138</v>
      </c>
      <c r="D225" s="4" t="s">
        <v>13</v>
      </c>
      <c r="E225" s="5">
        <v>45000</v>
      </c>
      <c r="F225">
        <v>44</v>
      </c>
      <c r="G225">
        <v>3.8</v>
      </c>
      <c r="H225">
        <f>IF(MONTH(calls[[#This Row],[Date of Call]])&lt;=6, YEAR(calls[[#This Row],[Date of Call]]), YEAR(calls[[#This Row],[Date of Call]])+1)</f>
        <v>2023</v>
      </c>
      <c r="I225" t="str">
        <f>TEXT(calls[[#This Row],[Date of Call]],"DDDD")</f>
        <v>Wednesday</v>
      </c>
      <c r="J225" t="str">
        <f t="array" ref="J225">_xlfn.IFS(calls[[#This Row],[Duration]]&lt;=10,"Under 10 mins", calls[[#This Row],[Duration]]&lt;=30, "10 to 30 mins", calls[[#This Row],[Duration]]&lt;=60, "30 to 60 mins", calls[[#This Row],[Duration]]&lt;=120, "1 to 2 hours", TRUE, "More than 2 hours")</f>
        <v>More than 2 hours</v>
      </c>
      <c r="K225">
        <f>ROUND(calls[[#This Row],[Satisfaction Rating]],0)</f>
        <v>4</v>
      </c>
    </row>
    <row r="226" spans="1:11" ht="13.8" x14ac:dyDescent="0.25">
      <c r="A226" t="s">
        <v>255</v>
      </c>
      <c r="B226" t="s">
        <v>15</v>
      </c>
      <c r="C226">
        <v>47</v>
      </c>
      <c r="D226" s="4" t="s">
        <v>18</v>
      </c>
      <c r="E226" s="5">
        <v>45000</v>
      </c>
      <c r="F226">
        <v>120</v>
      </c>
      <c r="G226">
        <v>3.1</v>
      </c>
      <c r="H226">
        <f>IF(MONTH(calls[[#This Row],[Date of Call]])&lt;=6, YEAR(calls[[#This Row],[Date of Call]]), YEAR(calls[[#This Row],[Date of Call]])+1)</f>
        <v>2023</v>
      </c>
      <c r="I226" t="str">
        <f>TEXT(calls[[#This Row],[Date of Call]],"DDDD")</f>
        <v>Wednesday</v>
      </c>
      <c r="J226" t="str">
        <f t="array" ref="J226">_xlfn.IFS(calls[[#This Row],[Duration]]&lt;=10,"Under 10 mins", calls[[#This Row],[Duration]]&lt;=30, "10 to 30 mins", calls[[#This Row],[Duration]]&lt;=60, "30 to 60 mins", calls[[#This Row],[Duration]]&lt;=120, "1 to 2 hours", TRUE, "More than 2 hours")</f>
        <v>30 to 60 mins</v>
      </c>
      <c r="K226">
        <f>ROUND(calls[[#This Row],[Satisfaction Rating]],0)</f>
        <v>3</v>
      </c>
    </row>
    <row r="227" spans="1:11" ht="13.8" x14ac:dyDescent="0.25">
      <c r="A227" t="s">
        <v>256</v>
      </c>
      <c r="B227" t="s">
        <v>46</v>
      </c>
      <c r="C227">
        <v>74</v>
      </c>
      <c r="D227" s="4" t="s">
        <v>18</v>
      </c>
      <c r="E227" s="5">
        <v>45000</v>
      </c>
      <c r="F227">
        <v>144</v>
      </c>
      <c r="G227">
        <v>4.8</v>
      </c>
      <c r="H227">
        <f>IF(MONTH(calls[[#This Row],[Date of Call]])&lt;=6, YEAR(calls[[#This Row],[Date of Call]]), YEAR(calls[[#This Row],[Date of Call]])+1)</f>
        <v>2023</v>
      </c>
      <c r="I227" t="str">
        <f>TEXT(calls[[#This Row],[Date of Call]],"DDDD")</f>
        <v>Wednesday</v>
      </c>
      <c r="J227" t="str">
        <f t="array" ref="J227">_xlfn.IFS(calls[[#This Row],[Duration]]&lt;=10,"Under 10 mins", calls[[#This Row],[Duration]]&lt;=30, "10 to 30 mins", calls[[#This Row],[Duration]]&lt;=60, "30 to 60 mins", calls[[#This Row],[Duration]]&lt;=120, "1 to 2 hours", TRUE, "More than 2 hours")</f>
        <v>1 to 2 hours</v>
      </c>
      <c r="K227">
        <f>ROUND(calls[[#This Row],[Satisfaction Rating]],0)</f>
        <v>5</v>
      </c>
    </row>
    <row r="228" spans="1:11" ht="13.8" x14ac:dyDescent="0.25">
      <c r="A228" t="s">
        <v>257</v>
      </c>
      <c r="B228" t="s">
        <v>43</v>
      </c>
      <c r="C228">
        <v>65</v>
      </c>
      <c r="D228" s="4" t="s">
        <v>18</v>
      </c>
      <c r="E228" s="5">
        <v>45000</v>
      </c>
      <c r="F228">
        <v>87</v>
      </c>
      <c r="G228">
        <v>2.7</v>
      </c>
      <c r="H228">
        <f>IF(MONTH(calls[[#This Row],[Date of Call]])&lt;=6, YEAR(calls[[#This Row],[Date of Call]]), YEAR(calls[[#This Row],[Date of Call]])+1)</f>
        <v>2023</v>
      </c>
      <c r="I228" t="str">
        <f>TEXT(calls[[#This Row],[Date of Call]],"DDDD")</f>
        <v>Wednesday</v>
      </c>
      <c r="J228" t="str">
        <f t="array" ref="J228">_xlfn.IFS(calls[[#This Row],[Duration]]&lt;=10,"Under 10 mins", calls[[#This Row],[Duration]]&lt;=30, "10 to 30 mins", calls[[#This Row],[Duration]]&lt;=60, "30 to 60 mins", calls[[#This Row],[Duration]]&lt;=120, "1 to 2 hours", TRUE, "More than 2 hours")</f>
        <v>1 to 2 hours</v>
      </c>
      <c r="K228">
        <f>ROUND(calls[[#This Row],[Satisfaction Rating]],0)</f>
        <v>3</v>
      </c>
    </row>
    <row r="229" spans="1:11" ht="13.8" x14ac:dyDescent="0.25">
      <c r="A229" t="s">
        <v>258</v>
      </c>
      <c r="B229" t="s">
        <v>22</v>
      </c>
      <c r="C229">
        <v>123</v>
      </c>
      <c r="D229" s="4" t="s">
        <v>32</v>
      </c>
      <c r="E229" s="5">
        <v>45000</v>
      </c>
      <c r="F229">
        <v>36</v>
      </c>
      <c r="G229">
        <v>3.6</v>
      </c>
      <c r="H229">
        <f>IF(MONTH(calls[[#This Row],[Date of Call]])&lt;=6, YEAR(calls[[#This Row],[Date of Call]]), YEAR(calls[[#This Row],[Date of Call]])+1)</f>
        <v>2023</v>
      </c>
      <c r="I229" t="str">
        <f>TEXT(calls[[#This Row],[Date of Call]],"DDDD")</f>
        <v>Wednesday</v>
      </c>
      <c r="J229" t="str">
        <f t="array" ref="J229">_xlfn.IFS(calls[[#This Row],[Duration]]&lt;=10,"Under 10 mins", calls[[#This Row],[Duration]]&lt;=30, "10 to 30 mins", calls[[#This Row],[Duration]]&lt;=60, "30 to 60 mins", calls[[#This Row],[Duration]]&lt;=120, "1 to 2 hours", TRUE, "More than 2 hours")</f>
        <v>More than 2 hours</v>
      </c>
      <c r="K229">
        <f>ROUND(calls[[#This Row],[Satisfaction Rating]],0)</f>
        <v>4</v>
      </c>
    </row>
    <row r="230" spans="1:11" ht="13.8" x14ac:dyDescent="0.25">
      <c r="A230" t="s">
        <v>259</v>
      </c>
      <c r="B230" t="s">
        <v>43</v>
      </c>
      <c r="C230">
        <v>90</v>
      </c>
      <c r="D230" s="4" t="s">
        <v>28</v>
      </c>
      <c r="E230" s="5">
        <v>45001</v>
      </c>
      <c r="F230">
        <v>72</v>
      </c>
      <c r="G230">
        <v>4.7</v>
      </c>
      <c r="H230">
        <f>IF(MONTH(calls[[#This Row],[Date of Call]])&lt;=6, YEAR(calls[[#This Row],[Date of Call]]), YEAR(calls[[#This Row],[Date of Call]])+1)</f>
        <v>2023</v>
      </c>
      <c r="I230" t="str">
        <f>TEXT(calls[[#This Row],[Date of Call]],"DDDD")</f>
        <v>Thursday</v>
      </c>
      <c r="J230" t="str">
        <f t="array" ref="J230">_xlfn.IFS(calls[[#This Row],[Duration]]&lt;=10,"Under 10 mins", calls[[#This Row],[Duration]]&lt;=30, "10 to 30 mins", calls[[#This Row],[Duration]]&lt;=60, "30 to 60 mins", calls[[#This Row],[Duration]]&lt;=120, "1 to 2 hours", TRUE, "More than 2 hours")</f>
        <v>1 to 2 hours</v>
      </c>
      <c r="K230">
        <f>ROUND(calls[[#This Row],[Satisfaction Rating]],0)</f>
        <v>5</v>
      </c>
    </row>
    <row r="231" spans="1:11" ht="13.8" x14ac:dyDescent="0.25">
      <c r="A231" t="s">
        <v>260</v>
      </c>
      <c r="B231" t="s">
        <v>64</v>
      </c>
      <c r="C231">
        <v>127</v>
      </c>
      <c r="D231" s="4" t="s">
        <v>13</v>
      </c>
      <c r="E231" s="5">
        <v>45001</v>
      </c>
      <c r="F231">
        <v>150</v>
      </c>
      <c r="G231">
        <v>4.4000000000000004</v>
      </c>
      <c r="H231">
        <f>IF(MONTH(calls[[#This Row],[Date of Call]])&lt;=6, YEAR(calls[[#This Row],[Date of Call]]), YEAR(calls[[#This Row],[Date of Call]])+1)</f>
        <v>2023</v>
      </c>
      <c r="I231" t="str">
        <f>TEXT(calls[[#This Row],[Date of Call]],"DDDD")</f>
        <v>Thursday</v>
      </c>
      <c r="J231" t="str">
        <f t="array" ref="J231">_xlfn.IFS(calls[[#This Row],[Duration]]&lt;=10,"Under 10 mins", calls[[#This Row],[Duration]]&lt;=30, "10 to 30 mins", calls[[#This Row],[Duration]]&lt;=60, "30 to 60 mins", calls[[#This Row],[Duration]]&lt;=120, "1 to 2 hours", TRUE, "More than 2 hours")</f>
        <v>More than 2 hours</v>
      </c>
      <c r="K231">
        <f>ROUND(calls[[#This Row],[Satisfaction Rating]],0)</f>
        <v>4</v>
      </c>
    </row>
    <row r="232" spans="1:11" ht="13.8" x14ac:dyDescent="0.25">
      <c r="A232" t="s">
        <v>261</v>
      </c>
      <c r="B232" t="s">
        <v>20</v>
      </c>
      <c r="C232">
        <v>60</v>
      </c>
      <c r="D232" s="4" t="s">
        <v>18</v>
      </c>
      <c r="E232" s="5">
        <v>45001</v>
      </c>
      <c r="F232">
        <v>68</v>
      </c>
      <c r="G232">
        <v>4.3</v>
      </c>
      <c r="H232">
        <f>IF(MONTH(calls[[#This Row],[Date of Call]])&lt;=6, YEAR(calls[[#This Row],[Date of Call]]), YEAR(calls[[#This Row],[Date of Call]])+1)</f>
        <v>2023</v>
      </c>
      <c r="I232" t="str">
        <f>TEXT(calls[[#This Row],[Date of Call]],"DDDD")</f>
        <v>Thursday</v>
      </c>
      <c r="J232" t="str">
        <f t="array" ref="J232">_xlfn.IFS(calls[[#This Row],[Duration]]&lt;=10,"Under 10 mins", calls[[#This Row],[Duration]]&lt;=30, "10 to 30 mins", calls[[#This Row],[Duration]]&lt;=60, "30 to 60 mins", calls[[#This Row],[Duration]]&lt;=120, "1 to 2 hours", TRUE, "More than 2 hours")</f>
        <v>30 to 60 mins</v>
      </c>
      <c r="K232">
        <f>ROUND(calls[[#This Row],[Satisfaction Rating]],0)</f>
        <v>4</v>
      </c>
    </row>
    <row r="233" spans="1:11" ht="13.8" x14ac:dyDescent="0.25">
      <c r="A233" t="s">
        <v>262</v>
      </c>
      <c r="B233" t="s">
        <v>15</v>
      </c>
      <c r="C233">
        <v>94</v>
      </c>
      <c r="D233" s="4" t="s">
        <v>13</v>
      </c>
      <c r="E233" s="5">
        <v>45001</v>
      </c>
      <c r="F233">
        <v>99</v>
      </c>
      <c r="G233">
        <v>4.9000000000000004</v>
      </c>
      <c r="H233">
        <f>IF(MONTH(calls[[#This Row],[Date of Call]])&lt;=6, YEAR(calls[[#This Row],[Date of Call]]), YEAR(calls[[#This Row],[Date of Call]])+1)</f>
        <v>2023</v>
      </c>
      <c r="I233" t="str">
        <f>TEXT(calls[[#This Row],[Date of Call]],"DDDD")</f>
        <v>Thursday</v>
      </c>
      <c r="J233" t="str">
        <f t="array" ref="J233">_xlfn.IFS(calls[[#This Row],[Duration]]&lt;=10,"Under 10 mins", calls[[#This Row],[Duration]]&lt;=30, "10 to 30 mins", calls[[#This Row],[Duration]]&lt;=60, "30 to 60 mins", calls[[#This Row],[Duration]]&lt;=120, "1 to 2 hours", TRUE, "More than 2 hours")</f>
        <v>1 to 2 hours</v>
      </c>
      <c r="K233">
        <f>ROUND(calls[[#This Row],[Satisfaction Rating]],0)</f>
        <v>5</v>
      </c>
    </row>
    <row r="234" spans="1:11" ht="13.8" x14ac:dyDescent="0.25">
      <c r="A234" t="s">
        <v>263</v>
      </c>
      <c r="B234" t="s">
        <v>22</v>
      </c>
      <c r="C234">
        <v>54</v>
      </c>
      <c r="D234" s="4" t="s">
        <v>18</v>
      </c>
      <c r="E234" s="5">
        <v>45001</v>
      </c>
      <c r="F234">
        <v>26</v>
      </c>
      <c r="G234">
        <v>4.8</v>
      </c>
      <c r="H234">
        <f>IF(MONTH(calls[[#This Row],[Date of Call]])&lt;=6, YEAR(calls[[#This Row],[Date of Call]]), YEAR(calls[[#This Row],[Date of Call]])+1)</f>
        <v>2023</v>
      </c>
      <c r="I234" t="str">
        <f>TEXT(calls[[#This Row],[Date of Call]],"DDDD")</f>
        <v>Thursday</v>
      </c>
      <c r="J234" t="str">
        <f t="array" ref="J234">_xlfn.IFS(calls[[#This Row],[Duration]]&lt;=10,"Under 10 mins", calls[[#This Row],[Duration]]&lt;=30, "10 to 30 mins", calls[[#This Row],[Duration]]&lt;=60, "30 to 60 mins", calls[[#This Row],[Duration]]&lt;=120, "1 to 2 hours", TRUE, "More than 2 hours")</f>
        <v>30 to 60 mins</v>
      </c>
      <c r="K234">
        <f>ROUND(calls[[#This Row],[Satisfaction Rating]],0)</f>
        <v>5</v>
      </c>
    </row>
    <row r="235" spans="1:11" ht="13.8" x14ac:dyDescent="0.25">
      <c r="A235" t="s">
        <v>264</v>
      </c>
      <c r="B235" t="s">
        <v>43</v>
      </c>
      <c r="C235">
        <v>104</v>
      </c>
      <c r="D235" s="4" t="s">
        <v>18</v>
      </c>
      <c r="E235" s="5">
        <v>45001</v>
      </c>
      <c r="F235">
        <v>88</v>
      </c>
      <c r="G235">
        <v>3.2</v>
      </c>
      <c r="H235">
        <f>IF(MONTH(calls[[#This Row],[Date of Call]])&lt;=6, YEAR(calls[[#This Row],[Date of Call]]), YEAR(calls[[#This Row],[Date of Call]])+1)</f>
        <v>2023</v>
      </c>
      <c r="I235" t="str">
        <f>TEXT(calls[[#This Row],[Date of Call]],"DDDD")</f>
        <v>Thursday</v>
      </c>
      <c r="J235" t="str">
        <f t="array" ref="J235">_xlfn.IFS(calls[[#This Row],[Duration]]&lt;=10,"Under 10 mins", calls[[#This Row],[Duration]]&lt;=30, "10 to 30 mins", calls[[#This Row],[Duration]]&lt;=60, "30 to 60 mins", calls[[#This Row],[Duration]]&lt;=120, "1 to 2 hours", TRUE, "More than 2 hours")</f>
        <v>1 to 2 hours</v>
      </c>
      <c r="K235">
        <f>ROUND(calls[[#This Row],[Satisfaction Rating]],0)</f>
        <v>3</v>
      </c>
    </row>
    <row r="236" spans="1:11" ht="13.8" x14ac:dyDescent="0.25">
      <c r="A236" t="s">
        <v>265</v>
      </c>
      <c r="B236" t="s">
        <v>26</v>
      </c>
      <c r="C236">
        <v>100</v>
      </c>
      <c r="D236" s="4" t="s">
        <v>18</v>
      </c>
      <c r="E236" s="5">
        <v>45001</v>
      </c>
      <c r="F236">
        <v>124</v>
      </c>
      <c r="G236">
        <v>3.4</v>
      </c>
      <c r="H236">
        <f>IF(MONTH(calls[[#This Row],[Date of Call]])&lt;=6, YEAR(calls[[#This Row],[Date of Call]]), YEAR(calls[[#This Row],[Date of Call]])+1)</f>
        <v>2023</v>
      </c>
      <c r="I236" t="str">
        <f>TEXT(calls[[#This Row],[Date of Call]],"DDDD")</f>
        <v>Thursday</v>
      </c>
      <c r="J236" t="str">
        <f t="array" ref="J236">_xlfn.IFS(calls[[#This Row],[Duration]]&lt;=10,"Under 10 mins", calls[[#This Row],[Duration]]&lt;=30, "10 to 30 mins", calls[[#This Row],[Duration]]&lt;=60, "30 to 60 mins", calls[[#This Row],[Duration]]&lt;=120, "1 to 2 hours", TRUE, "More than 2 hours")</f>
        <v>1 to 2 hours</v>
      </c>
      <c r="K236">
        <f>ROUND(calls[[#This Row],[Satisfaction Rating]],0)</f>
        <v>3</v>
      </c>
    </row>
    <row r="237" spans="1:11" ht="13.8" x14ac:dyDescent="0.25">
      <c r="A237" t="s">
        <v>266</v>
      </c>
      <c r="B237" t="s">
        <v>46</v>
      </c>
      <c r="C237">
        <v>84</v>
      </c>
      <c r="D237" s="4" t="s">
        <v>18</v>
      </c>
      <c r="E237" s="5">
        <v>45001</v>
      </c>
      <c r="F237">
        <v>72</v>
      </c>
      <c r="G237">
        <v>3.5</v>
      </c>
      <c r="H237">
        <f>IF(MONTH(calls[[#This Row],[Date of Call]])&lt;=6, YEAR(calls[[#This Row],[Date of Call]]), YEAR(calls[[#This Row],[Date of Call]])+1)</f>
        <v>2023</v>
      </c>
      <c r="I237" t="str">
        <f>TEXT(calls[[#This Row],[Date of Call]],"DDDD")</f>
        <v>Thursday</v>
      </c>
      <c r="J237" t="str">
        <f t="array" ref="J237">_xlfn.IFS(calls[[#This Row],[Duration]]&lt;=10,"Under 10 mins", calls[[#This Row],[Duration]]&lt;=30, "10 to 30 mins", calls[[#This Row],[Duration]]&lt;=60, "30 to 60 mins", calls[[#This Row],[Duration]]&lt;=120, "1 to 2 hours", TRUE, "More than 2 hours")</f>
        <v>1 to 2 hours</v>
      </c>
      <c r="K237">
        <f>ROUND(calls[[#This Row],[Satisfaction Rating]],0)</f>
        <v>4</v>
      </c>
    </row>
    <row r="238" spans="1:11" ht="13.8" x14ac:dyDescent="0.25">
      <c r="A238" t="s">
        <v>267</v>
      </c>
      <c r="B238" t="s">
        <v>12</v>
      </c>
      <c r="C238">
        <v>92</v>
      </c>
      <c r="D238" s="4" t="s">
        <v>23</v>
      </c>
      <c r="E238" s="5">
        <v>45002</v>
      </c>
      <c r="F238">
        <v>125</v>
      </c>
      <c r="G238">
        <v>4.9000000000000004</v>
      </c>
      <c r="H238">
        <f>IF(MONTH(calls[[#This Row],[Date of Call]])&lt;=6, YEAR(calls[[#This Row],[Date of Call]]), YEAR(calls[[#This Row],[Date of Call]])+1)</f>
        <v>2023</v>
      </c>
      <c r="I238" t="str">
        <f>TEXT(calls[[#This Row],[Date of Call]],"DDDD")</f>
        <v>Friday</v>
      </c>
      <c r="J238" t="str">
        <f t="array" ref="J238">_xlfn.IFS(calls[[#This Row],[Duration]]&lt;=10,"Under 10 mins", calls[[#This Row],[Duration]]&lt;=30, "10 to 30 mins", calls[[#This Row],[Duration]]&lt;=60, "30 to 60 mins", calls[[#This Row],[Duration]]&lt;=120, "1 to 2 hours", TRUE, "More than 2 hours")</f>
        <v>1 to 2 hours</v>
      </c>
      <c r="K238">
        <f>ROUND(calls[[#This Row],[Satisfaction Rating]],0)</f>
        <v>5</v>
      </c>
    </row>
    <row r="239" spans="1:11" ht="13.8" x14ac:dyDescent="0.25">
      <c r="A239" t="s">
        <v>268</v>
      </c>
      <c r="B239" t="s">
        <v>31</v>
      </c>
      <c r="C239">
        <v>64</v>
      </c>
      <c r="D239" s="4" t="s">
        <v>13</v>
      </c>
      <c r="E239" s="5">
        <v>45002</v>
      </c>
      <c r="F239">
        <v>22</v>
      </c>
      <c r="G239">
        <v>4.0999999999999996</v>
      </c>
      <c r="H239">
        <f>IF(MONTH(calls[[#This Row],[Date of Call]])&lt;=6, YEAR(calls[[#This Row],[Date of Call]]), YEAR(calls[[#This Row],[Date of Call]])+1)</f>
        <v>2023</v>
      </c>
      <c r="I239" t="str">
        <f>TEXT(calls[[#This Row],[Date of Call]],"DDDD")</f>
        <v>Friday</v>
      </c>
      <c r="J239" t="str">
        <f t="array" ref="J239">_xlfn.IFS(calls[[#This Row],[Duration]]&lt;=10,"Under 10 mins", calls[[#This Row],[Duration]]&lt;=30, "10 to 30 mins", calls[[#This Row],[Duration]]&lt;=60, "30 to 60 mins", calls[[#This Row],[Duration]]&lt;=120, "1 to 2 hours", TRUE, "More than 2 hours")</f>
        <v>1 to 2 hours</v>
      </c>
      <c r="K239">
        <f>ROUND(calls[[#This Row],[Satisfaction Rating]],0)</f>
        <v>4</v>
      </c>
    </row>
    <row r="240" spans="1:11" ht="13.8" x14ac:dyDescent="0.25">
      <c r="A240" t="s">
        <v>269</v>
      </c>
      <c r="B240" t="s">
        <v>17</v>
      </c>
      <c r="C240">
        <v>89</v>
      </c>
      <c r="D240" s="4" t="s">
        <v>28</v>
      </c>
      <c r="E240" s="5">
        <v>45003</v>
      </c>
      <c r="F240">
        <v>70</v>
      </c>
      <c r="G240">
        <v>4.9000000000000004</v>
      </c>
      <c r="H240">
        <f>IF(MONTH(calls[[#This Row],[Date of Call]])&lt;=6, YEAR(calls[[#This Row],[Date of Call]]), YEAR(calls[[#This Row],[Date of Call]])+1)</f>
        <v>2023</v>
      </c>
      <c r="I240" t="str">
        <f>TEXT(calls[[#This Row],[Date of Call]],"DDDD")</f>
        <v>Saturday</v>
      </c>
      <c r="J240" t="str">
        <f t="array" ref="J240">_xlfn.IFS(calls[[#This Row],[Duration]]&lt;=10,"Under 10 mins", calls[[#This Row],[Duration]]&lt;=30, "10 to 30 mins", calls[[#This Row],[Duration]]&lt;=60, "30 to 60 mins", calls[[#This Row],[Duration]]&lt;=120, "1 to 2 hours", TRUE, "More than 2 hours")</f>
        <v>1 to 2 hours</v>
      </c>
      <c r="K240">
        <f>ROUND(calls[[#This Row],[Satisfaction Rating]],0)</f>
        <v>5</v>
      </c>
    </row>
    <row r="241" spans="1:11" ht="13.8" x14ac:dyDescent="0.25">
      <c r="A241" t="s">
        <v>270</v>
      </c>
      <c r="B241" t="s">
        <v>51</v>
      </c>
      <c r="C241">
        <v>40</v>
      </c>
      <c r="D241" s="4" t="s">
        <v>18</v>
      </c>
      <c r="E241" s="5">
        <v>45003</v>
      </c>
      <c r="F241">
        <v>24</v>
      </c>
      <c r="G241">
        <v>4.3</v>
      </c>
      <c r="H241">
        <f>IF(MONTH(calls[[#This Row],[Date of Call]])&lt;=6, YEAR(calls[[#This Row],[Date of Call]]), YEAR(calls[[#This Row],[Date of Call]])+1)</f>
        <v>2023</v>
      </c>
      <c r="I241" t="str">
        <f>TEXT(calls[[#This Row],[Date of Call]],"DDDD")</f>
        <v>Saturday</v>
      </c>
      <c r="J241" t="str">
        <f t="array" ref="J241">_xlfn.IFS(calls[[#This Row],[Duration]]&lt;=10,"Under 10 mins", calls[[#This Row],[Duration]]&lt;=30, "10 to 30 mins", calls[[#This Row],[Duration]]&lt;=60, "30 to 60 mins", calls[[#This Row],[Duration]]&lt;=120, "1 to 2 hours", TRUE, "More than 2 hours")</f>
        <v>30 to 60 mins</v>
      </c>
      <c r="K241">
        <f>ROUND(calls[[#This Row],[Satisfaction Rating]],0)</f>
        <v>4</v>
      </c>
    </row>
    <row r="242" spans="1:11" ht="13.8" x14ac:dyDescent="0.25">
      <c r="A242" t="s">
        <v>271</v>
      </c>
      <c r="B242" t="s">
        <v>35</v>
      </c>
      <c r="C242">
        <v>75</v>
      </c>
      <c r="D242" s="4" t="s">
        <v>32</v>
      </c>
      <c r="E242" s="5">
        <v>45003</v>
      </c>
      <c r="F242">
        <v>32</v>
      </c>
      <c r="G242">
        <v>4.0999999999999996</v>
      </c>
      <c r="H242">
        <f>IF(MONTH(calls[[#This Row],[Date of Call]])&lt;=6, YEAR(calls[[#This Row],[Date of Call]]), YEAR(calls[[#This Row],[Date of Call]])+1)</f>
        <v>2023</v>
      </c>
      <c r="I242" t="str">
        <f>TEXT(calls[[#This Row],[Date of Call]],"DDDD")</f>
        <v>Saturday</v>
      </c>
      <c r="J242" t="str">
        <f t="array" ref="J242">_xlfn.IFS(calls[[#This Row],[Duration]]&lt;=10,"Under 10 mins", calls[[#This Row],[Duration]]&lt;=30, "10 to 30 mins", calls[[#This Row],[Duration]]&lt;=60, "30 to 60 mins", calls[[#This Row],[Duration]]&lt;=120, "1 to 2 hours", TRUE, "More than 2 hours")</f>
        <v>1 to 2 hours</v>
      </c>
      <c r="K242">
        <f>ROUND(calls[[#This Row],[Satisfaction Rating]],0)</f>
        <v>4</v>
      </c>
    </row>
    <row r="243" spans="1:11" ht="13.8" x14ac:dyDescent="0.25">
      <c r="A243" t="s">
        <v>272</v>
      </c>
      <c r="B243" t="s">
        <v>64</v>
      </c>
      <c r="C243">
        <v>106</v>
      </c>
      <c r="D243" s="4" t="s">
        <v>23</v>
      </c>
      <c r="E243" s="5">
        <v>45003</v>
      </c>
      <c r="F243">
        <v>112</v>
      </c>
      <c r="G243">
        <v>4.4000000000000004</v>
      </c>
      <c r="H243">
        <f>IF(MONTH(calls[[#This Row],[Date of Call]])&lt;=6, YEAR(calls[[#This Row],[Date of Call]]), YEAR(calls[[#This Row],[Date of Call]])+1)</f>
        <v>2023</v>
      </c>
      <c r="I243" t="str">
        <f>TEXT(calls[[#This Row],[Date of Call]],"DDDD")</f>
        <v>Saturday</v>
      </c>
      <c r="J243" t="str">
        <f t="array" ref="J243">_xlfn.IFS(calls[[#This Row],[Duration]]&lt;=10,"Under 10 mins", calls[[#This Row],[Duration]]&lt;=30, "10 to 30 mins", calls[[#This Row],[Duration]]&lt;=60, "30 to 60 mins", calls[[#This Row],[Duration]]&lt;=120, "1 to 2 hours", TRUE, "More than 2 hours")</f>
        <v>1 to 2 hours</v>
      </c>
      <c r="K243">
        <f>ROUND(calls[[#This Row],[Satisfaction Rating]],0)</f>
        <v>4</v>
      </c>
    </row>
    <row r="244" spans="1:11" ht="13.8" x14ac:dyDescent="0.25">
      <c r="A244" t="s">
        <v>273</v>
      </c>
      <c r="B244" t="s">
        <v>31</v>
      </c>
      <c r="C244">
        <v>58</v>
      </c>
      <c r="D244" s="4" t="s">
        <v>18</v>
      </c>
      <c r="E244" s="5">
        <v>45004</v>
      </c>
      <c r="F244">
        <v>43</v>
      </c>
      <c r="G244">
        <v>4.5</v>
      </c>
      <c r="H244">
        <f>IF(MONTH(calls[[#This Row],[Date of Call]])&lt;=6, YEAR(calls[[#This Row],[Date of Call]]), YEAR(calls[[#This Row],[Date of Call]])+1)</f>
        <v>2023</v>
      </c>
      <c r="I244" t="str">
        <f>TEXT(calls[[#This Row],[Date of Call]],"DDDD")</f>
        <v>Sunday</v>
      </c>
      <c r="J244" t="str">
        <f t="array" ref="J244">_xlfn.IFS(calls[[#This Row],[Duration]]&lt;=10,"Under 10 mins", calls[[#This Row],[Duration]]&lt;=30, "10 to 30 mins", calls[[#This Row],[Duration]]&lt;=60, "30 to 60 mins", calls[[#This Row],[Duration]]&lt;=120, "1 to 2 hours", TRUE, "More than 2 hours")</f>
        <v>30 to 60 mins</v>
      </c>
      <c r="K244">
        <f>ROUND(calls[[#This Row],[Satisfaction Rating]],0)</f>
        <v>5</v>
      </c>
    </row>
    <row r="245" spans="1:11" ht="13.8" x14ac:dyDescent="0.25">
      <c r="A245" t="s">
        <v>274</v>
      </c>
      <c r="B245" t="s">
        <v>46</v>
      </c>
      <c r="C245">
        <v>84</v>
      </c>
      <c r="D245" s="4" t="s">
        <v>23</v>
      </c>
      <c r="E245" s="5">
        <v>45004</v>
      </c>
      <c r="F245">
        <v>22</v>
      </c>
      <c r="G245">
        <v>3.5</v>
      </c>
      <c r="H245">
        <f>IF(MONTH(calls[[#This Row],[Date of Call]])&lt;=6, YEAR(calls[[#This Row],[Date of Call]]), YEAR(calls[[#This Row],[Date of Call]])+1)</f>
        <v>2023</v>
      </c>
      <c r="I245" t="str">
        <f>TEXT(calls[[#This Row],[Date of Call]],"DDDD")</f>
        <v>Sunday</v>
      </c>
      <c r="J245" t="str">
        <f t="array" ref="J245">_xlfn.IFS(calls[[#This Row],[Duration]]&lt;=10,"Under 10 mins", calls[[#This Row],[Duration]]&lt;=30, "10 to 30 mins", calls[[#This Row],[Duration]]&lt;=60, "30 to 60 mins", calls[[#This Row],[Duration]]&lt;=120, "1 to 2 hours", TRUE, "More than 2 hours")</f>
        <v>1 to 2 hours</v>
      </c>
      <c r="K245">
        <f>ROUND(calls[[#This Row],[Satisfaction Rating]],0)</f>
        <v>4</v>
      </c>
    </row>
    <row r="246" spans="1:11" ht="13.8" x14ac:dyDescent="0.25">
      <c r="A246" t="s">
        <v>275</v>
      </c>
      <c r="B246" t="s">
        <v>43</v>
      </c>
      <c r="C246">
        <v>140</v>
      </c>
      <c r="D246" s="4" t="s">
        <v>23</v>
      </c>
      <c r="E246" s="5">
        <v>45004</v>
      </c>
      <c r="F246">
        <v>93</v>
      </c>
      <c r="G246">
        <v>4.4000000000000004</v>
      </c>
      <c r="H246">
        <f>IF(MONTH(calls[[#This Row],[Date of Call]])&lt;=6, YEAR(calls[[#This Row],[Date of Call]]), YEAR(calls[[#This Row],[Date of Call]])+1)</f>
        <v>2023</v>
      </c>
      <c r="I246" t="str">
        <f>TEXT(calls[[#This Row],[Date of Call]],"DDDD")</f>
        <v>Sunday</v>
      </c>
      <c r="J246" t="str">
        <f t="array" ref="J246">_xlfn.IFS(calls[[#This Row],[Duration]]&lt;=10,"Under 10 mins", calls[[#This Row],[Duration]]&lt;=30, "10 to 30 mins", calls[[#This Row],[Duration]]&lt;=60, "30 to 60 mins", calls[[#This Row],[Duration]]&lt;=120, "1 to 2 hours", TRUE, "More than 2 hours")</f>
        <v>More than 2 hours</v>
      </c>
      <c r="K246">
        <f>ROUND(calls[[#This Row],[Satisfaction Rating]],0)</f>
        <v>4</v>
      </c>
    </row>
    <row r="247" spans="1:11" ht="13.8" x14ac:dyDescent="0.25">
      <c r="A247" t="s">
        <v>276</v>
      </c>
      <c r="B247" t="s">
        <v>31</v>
      </c>
      <c r="C247">
        <v>67</v>
      </c>
      <c r="D247" s="4" t="s">
        <v>23</v>
      </c>
      <c r="E247" s="5">
        <v>45004</v>
      </c>
      <c r="F247">
        <v>45</v>
      </c>
      <c r="G247">
        <v>3.5</v>
      </c>
      <c r="H247">
        <f>IF(MONTH(calls[[#This Row],[Date of Call]])&lt;=6, YEAR(calls[[#This Row],[Date of Call]]), YEAR(calls[[#This Row],[Date of Call]])+1)</f>
        <v>2023</v>
      </c>
      <c r="I247" t="str">
        <f>TEXT(calls[[#This Row],[Date of Call]],"DDDD")</f>
        <v>Sunday</v>
      </c>
      <c r="J247" t="str">
        <f t="array" ref="J247">_xlfn.IFS(calls[[#This Row],[Duration]]&lt;=10,"Under 10 mins", calls[[#This Row],[Duration]]&lt;=30, "10 to 30 mins", calls[[#This Row],[Duration]]&lt;=60, "30 to 60 mins", calls[[#This Row],[Duration]]&lt;=120, "1 to 2 hours", TRUE, "More than 2 hours")</f>
        <v>1 to 2 hours</v>
      </c>
      <c r="K247">
        <f>ROUND(calls[[#This Row],[Satisfaction Rating]],0)</f>
        <v>4</v>
      </c>
    </row>
    <row r="248" spans="1:11" ht="13.8" x14ac:dyDescent="0.25">
      <c r="A248" t="s">
        <v>277</v>
      </c>
      <c r="B248" t="s">
        <v>15</v>
      </c>
      <c r="C248">
        <v>126</v>
      </c>
      <c r="D248" s="4" t="s">
        <v>23</v>
      </c>
      <c r="E248" s="5">
        <v>45005</v>
      </c>
      <c r="F248">
        <v>96</v>
      </c>
      <c r="G248">
        <v>3.8</v>
      </c>
      <c r="H248">
        <f>IF(MONTH(calls[[#This Row],[Date of Call]])&lt;=6, YEAR(calls[[#This Row],[Date of Call]]), YEAR(calls[[#This Row],[Date of Call]])+1)</f>
        <v>2023</v>
      </c>
      <c r="I248" t="str">
        <f>TEXT(calls[[#This Row],[Date of Call]],"DDDD")</f>
        <v>Monday</v>
      </c>
      <c r="J248" t="str">
        <f t="array" ref="J248">_xlfn.IFS(calls[[#This Row],[Duration]]&lt;=10,"Under 10 mins", calls[[#This Row],[Duration]]&lt;=30, "10 to 30 mins", calls[[#This Row],[Duration]]&lt;=60, "30 to 60 mins", calls[[#This Row],[Duration]]&lt;=120, "1 to 2 hours", TRUE, "More than 2 hours")</f>
        <v>More than 2 hours</v>
      </c>
      <c r="K248">
        <f>ROUND(calls[[#This Row],[Satisfaction Rating]],0)</f>
        <v>4</v>
      </c>
    </row>
    <row r="249" spans="1:11" ht="13.8" x14ac:dyDescent="0.25">
      <c r="A249" t="s">
        <v>278</v>
      </c>
      <c r="B249" t="s">
        <v>15</v>
      </c>
      <c r="C249">
        <v>89</v>
      </c>
      <c r="D249" s="4" t="s">
        <v>18</v>
      </c>
      <c r="E249" s="5">
        <v>45005</v>
      </c>
      <c r="F249">
        <v>96</v>
      </c>
      <c r="G249">
        <v>3.3</v>
      </c>
      <c r="H249">
        <f>IF(MONTH(calls[[#This Row],[Date of Call]])&lt;=6, YEAR(calls[[#This Row],[Date of Call]]), YEAR(calls[[#This Row],[Date of Call]])+1)</f>
        <v>2023</v>
      </c>
      <c r="I249" t="str">
        <f>TEXT(calls[[#This Row],[Date of Call]],"DDDD")</f>
        <v>Monday</v>
      </c>
      <c r="J249" t="str">
        <f t="array" ref="J249">_xlfn.IFS(calls[[#This Row],[Duration]]&lt;=10,"Under 10 mins", calls[[#This Row],[Duration]]&lt;=30, "10 to 30 mins", calls[[#This Row],[Duration]]&lt;=60, "30 to 60 mins", calls[[#This Row],[Duration]]&lt;=120, "1 to 2 hours", TRUE, "More than 2 hours")</f>
        <v>1 to 2 hours</v>
      </c>
      <c r="K249">
        <f>ROUND(calls[[#This Row],[Satisfaction Rating]],0)</f>
        <v>3</v>
      </c>
    </row>
    <row r="250" spans="1:11" ht="13.8" x14ac:dyDescent="0.25">
      <c r="A250" t="s">
        <v>279</v>
      </c>
      <c r="B250" t="s">
        <v>17</v>
      </c>
      <c r="C250">
        <v>56</v>
      </c>
      <c r="D250" s="4" t="s">
        <v>13</v>
      </c>
      <c r="E250" s="5">
        <v>45005</v>
      </c>
      <c r="F250">
        <v>31</v>
      </c>
      <c r="G250">
        <v>4.4000000000000004</v>
      </c>
      <c r="H250">
        <f>IF(MONTH(calls[[#This Row],[Date of Call]])&lt;=6, YEAR(calls[[#This Row],[Date of Call]]), YEAR(calls[[#This Row],[Date of Call]])+1)</f>
        <v>2023</v>
      </c>
      <c r="I250" t="str">
        <f>TEXT(calls[[#This Row],[Date of Call]],"DDDD")</f>
        <v>Monday</v>
      </c>
      <c r="J250" t="str">
        <f t="array" ref="J250">_xlfn.IFS(calls[[#This Row],[Duration]]&lt;=10,"Under 10 mins", calls[[#This Row],[Duration]]&lt;=30, "10 to 30 mins", calls[[#This Row],[Duration]]&lt;=60, "30 to 60 mins", calls[[#This Row],[Duration]]&lt;=120, "1 to 2 hours", TRUE, "More than 2 hours")</f>
        <v>30 to 60 mins</v>
      </c>
      <c r="K250">
        <f>ROUND(calls[[#This Row],[Satisfaction Rating]],0)</f>
        <v>4</v>
      </c>
    </row>
    <row r="251" spans="1:11" ht="13.8" x14ac:dyDescent="0.25">
      <c r="A251" t="s">
        <v>280</v>
      </c>
      <c r="B251" t="s">
        <v>22</v>
      </c>
      <c r="C251">
        <v>48</v>
      </c>
      <c r="D251" s="4" t="s">
        <v>18</v>
      </c>
      <c r="E251" s="5">
        <v>45005</v>
      </c>
      <c r="F251">
        <v>200</v>
      </c>
      <c r="G251">
        <v>3.9</v>
      </c>
      <c r="H251">
        <f>IF(MONTH(calls[[#This Row],[Date of Call]])&lt;=6, YEAR(calls[[#This Row],[Date of Call]]), YEAR(calls[[#This Row],[Date of Call]])+1)</f>
        <v>2023</v>
      </c>
      <c r="I251" t="str">
        <f>TEXT(calls[[#This Row],[Date of Call]],"DDDD")</f>
        <v>Monday</v>
      </c>
      <c r="J251" t="str">
        <f t="array" ref="J251">_xlfn.IFS(calls[[#This Row],[Duration]]&lt;=10,"Under 10 mins", calls[[#This Row],[Duration]]&lt;=30, "10 to 30 mins", calls[[#This Row],[Duration]]&lt;=60, "30 to 60 mins", calls[[#This Row],[Duration]]&lt;=120, "1 to 2 hours", TRUE, "More than 2 hours")</f>
        <v>30 to 60 mins</v>
      </c>
      <c r="K251">
        <f>ROUND(calls[[#This Row],[Satisfaction Rating]],0)</f>
        <v>4</v>
      </c>
    </row>
    <row r="252" spans="1:11" ht="13.8" x14ac:dyDescent="0.25">
      <c r="A252" t="s">
        <v>281</v>
      </c>
      <c r="B252" t="s">
        <v>15</v>
      </c>
      <c r="C252">
        <v>55</v>
      </c>
      <c r="D252" s="4" t="s">
        <v>13</v>
      </c>
      <c r="E252" s="5">
        <v>45005</v>
      </c>
      <c r="F252">
        <v>99</v>
      </c>
      <c r="G252">
        <v>2.7</v>
      </c>
      <c r="H252">
        <f>IF(MONTH(calls[[#This Row],[Date of Call]])&lt;=6, YEAR(calls[[#This Row],[Date of Call]]), YEAR(calls[[#This Row],[Date of Call]])+1)</f>
        <v>2023</v>
      </c>
      <c r="I252" t="str">
        <f>TEXT(calls[[#This Row],[Date of Call]],"DDDD")</f>
        <v>Monday</v>
      </c>
      <c r="J252" t="str">
        <f t="array" ref="J252">_xlfn.IFS(calls[[#This Row],[Duration]]&lt;=10,"Under 10 mins", calls[[#This Row],[Duration]]&lt;=30, "10 to 30 mins", calls[[#This Row],[Duration]]&lt;=60, "30 to 60 mins", calls[[#This Row],[Duration]]&lt;=120, "1 to 2 hours", TRUE, "More than 2 hours")</f>
        <v>30 to 60 mins</v>
      </c>
      <c r="K252">
        <f>ROUND(calls[[#This Row],[Satisfaction Rating]],0)</f>
        <v>3</v>
      </c>
    </row>
    <row r="253" spans="1:11" ht="13.8" x14ac:dyDescent="0.25">
      <c r="A253" t="s">
        <v>282</v>
      </c>
      <c r="B253" t="s">
        <v>20</v>
      </c>
      <c r="C253">
        <v>88</v>
      </c>
      <c r="D253" s="4" t="s">
        <v>32</v>
      </c>
      <c r="E253" s="5">
        <v>45005</v>
      </c>
      <c r="F253">
        <v>144</v>
      </c>
      <c r="G253">
        <v>2.9</v>
      </c>
      <c r="H253">
        <f>IF(MONTH(calls[[#This Row],[Date of Call]])&lt;=6, YEAR(calls[[#This Row],[Date of Call]]), YEAR(calls[[#This Row],[Date of Call]])+1)</f>
        <v>2023</v>
      </c>
      <c r="I253" t="str">
        <f>TEXT(calls[[#This Row],[Date of Call]],"DDDD")</f>
        <v>Monday</v>
      </c>
      <c r="J253" t="str">
        <f t="array" ref="J253">_xlfn.IFS(calls[[#This Row],[Duration]]&lt;=10,"Under 10 mins", calls[[#This Row],[Duration]]&lt;=30, "10 to 30 mins", calls[[#This Row],[Duration]]&lt;=60, "30 to 60 mins", calls[[#This Row],[Duration]]&lt;=120, "1 to 2 hours", TRUE, "More than 2 hours")</f>
        <v>1 to 2 hours</v>
      </c>
      <c r="K253">
        <f>ROUND(calls[[#This Row],[Satisfaction Rating]],0)</f>
        <v>3</v>
      </c>
    </row>
    <row r="254" spans="1:11" ht="13.8" x14ac:dyDescent="0.25">
      <c r="A254" t="s">
        <v>283</v>
      </c>
      <c r="B254" t="s">
        <v>17</v>
      </c>
      <c r="C254">
        <v>102</v>
      </c>
      <c r="D254" s="4" t="s">
        <v>23</v>
      </c>
      <c r="E254" s="5">
        <v>45006</v>
      </c>
      <c r="F254">
        <v>81</v>
      </c>
      <c r="G254">
        <v>4</v>
      </c>
      <c r="H254">
        <f>IF(MONTH(calls[[#This Row],[Date of Call]])&lt;=6, YEAR(calls[[#This Row],[Date of Call]]), YEAR(calls[[#This Row],[Date of Call]])+1)</f>
        <v>2023</v>
      </c>
      <c r="I254" t="str">
        <f>TEXT(calls[[#This Row],[Date of Call]],"DDDD")</f>
        <v>Tuesday</v>
      </c>
      <c r="J254" t="str">
        <f t="array" ref="J254">_xlfn.IFS(calls[[#This Row],[Duration]]&lt;=10,"Under 10 mins", calls[[#This Row],[Duration]]&lt;=30, "10 to 30 mins", calls[[#This Row],[Duration]]&lt;=60, "30 to 60 mins", calls[[#This Row],[Duration]]&lt;=120, "1 to 2 hours", TRUE, "More than 2 hours")</f>
        <v>1 to 2 hours</v>
      </c>
      <c r="K254">
        <f>ROUND(calls[[#This Row],[Satisfaction Rating]],0)</f>
        <v>4</v>
      </c>
    </row>
    <row r="255" spans="1:11" ht="13.8" x14ac:dyDescent="0.25">
      <c r="A255" t="s">
        <v>284</v>
      </c>
      <c r="B255" t="s">
        <v>20</v>
      </c>
      <c r="C255">
        <v>155</v>
      </c>
      <c r="D255" s="4" t="s">
        <v>32</v>
      </c>
      <c r="E255" s="5">
        <v>45006</v>
      </c>
      <c r="F255">
        <v>70</v>
      </c>
      <c r="G255">
        <v>4.4000000000000004</v>
      </c>
      <c r="H255">
        <f>IF(MONTH(calls[[#This Row],[Date of Call]])&lt;=6, YEAR(calls[[#This Row],[Date of Call]]), YEAR(calls[[#This Row],[Date of Call]])+1)</f>
        <v>2023</v>
      </c>
      <c r="I255" t="str">
        <f>TEXT(calls[[#This Row],[Date of Call]],"DDDD")</f>
        <v>Tuesday</v>
      </c>
      <c r="J255" t="str">
        <f t="array" ref="J255">_xlfn.IFS(calls[[#This Row],[Duration]]&lt;=10,"Under 10 mins", calls[[#This Row],[Duration]]&lt;=30, "10 to 30 mins", calls[[#This Row],[Duration]]&lt;=60, "30 to 60 mins", calls[[#This Row],[Duration]]&lt;=120, "1 to 2 hours", TRUE, "More than 2 hours")</f>
        <v>More than 2 hours</v>
      </c>
      <c r="K255">
        <f>ROUND(calls[[#This Row],[Satisfaction Rating]],0)</f>
        <v>4</v>
      </c>
    </row>
    <row r="256" spans="1:11" ht="13.8" x14ac:dyDescent="0.25">
      <c r="A256" t="s">
        <v>285</v>
      </c>
      <c r="B256" t="s">
        <v>15</v>
      </c>
      <c r="C256">
        <v>63</v>
      </c>
      <c r="D256" s="4" t="s">
        <v>32</v>
      </c>
      <c r="E256" s="5">
        <v>45006</v>
      </c>
      <c r="F256">
        <v>148</v>
      </c>
      <c r="G256">
        <v>5</v>
      </c>
      <c r="H256">
        <f>IF(MONTH(calls[[#This Row],[Date of Call]])&lt;=6, YEAR(calls[[#This Row],[Date of Call]]), YEAR(calls[[#This Row],[Date of Call]])+1)</f>
        <v>2023</v>
      </c>
      <c r="I256" t="str">
        <f>TEXT(calls[[#This Row],[Date of Call]],"DDDD")</f>
        <v>Tuesday</v>
      </c>
      <c r="J256" t="str">
        <f t="array" ref="J256">_xlfn.IFS(calls[[#This Row],[Duration]]&lt;=10,"Under 10 mins", calls[[#This Row],[Duration]]&lt;=30, "10 to 30 mins", calls[[#This Row],[Duration]]&lt;=60, "30 to 60 mins", calls[[#This Row],[Duration]]&lt;=120, "1 to 2 hours", TRUE, "More than 2 hours")</f>
        <v>1 to 2 hours</v>
      </c>
      <c r="K256">
        <f>ROUND(calls[[#This Row],[Satisfaction Rating]],0)</f>
        <v>5</v>
      </c>
    </row>
    <row r="257" spans="1:11" ht="13.8" x14ac:dyDescent="0.25">
      <c r="A257" t="s">
        <v>286</v>
      </c>
      <c r="B257" t="s">
        <v>26</v>
      </c>
      <c r="C257">
        <v>59</v>
      </c>
      <c r="D257" s="4" t="s">
        <v>23</v>
      </c>
      <c r="E257" s="5">
        <v>45006</v>
      </c>
      <c r="F257">
        <v>215</v>
      </c>
      <c r="G257">
        <v>4.0999999999999996</v>
      </c>
      <c r="H257">
        <f>IF(MONTH(calls[[#This Row],[Date of Call]])&lt;=6, YEAR(calls[[#This Row],[Date of Call]]), YEAR(calls[[#This Row],[Date of Call]])+1)</f>
        <v>2023</v>
      </c>
      <c r="I257" t="str">
        <f>TEXT(calls[[#This Row],[Date of Call]],"DDDD")</f>
        <v>Tuesday</v>
      </c>
      <c r="J257" t="str">
        <f t="array" ref="J257">_xlfn.IFS(calls[[#This Row],[Duration]]&lt;=10,"Under 10 mins", calls[[#This Row],[Duration]]&lt;=30, "10 to 30 mins", calls[[#This Row],[Duration]]&lt;=60, "30 to 60 mins", calls[[#This Row],[Duration]]&lt;=120, "1 to 2 hours", TRUE, "More than 2 hours")</f>
        <v>30 to 60 mins</v>
      </c>
      <c r="K257">
        <f>ROUND(calls[[#This Row],[Satisfaction Rating]],0)</f>
        <v>4</v>
      </c>
    </row>
    <row r="258" spans="1:11" ht="13.8" x14ac:dyDescent="0.25">
      <c r="A258" t="s">
        <v>287</v>
      </c>
      <c r="B258" t="s">
        <v>26</v>
      </c>
      <c r="C258">
        <v>144</v>
      </c>
      <c r="D258" s="4" t="s">
        <v>18</v>
      </c>
      <c r="E258" s="5">
        <v>45006</v>
      </c>
      <c r="F258">
        <v>124</v>
      </c>
      <c r="G258">
        <v>4.4000000000000004</v>
      </c>
      <c r="H258">
        <f>IF(MONTH(calls[[#This Row],[Date of Call]])&lt;=6, YEAR(calls[[#This Row],[Date of Call]]), YEAR(calls[[#This Row],[Date of Call]])+1)</f>
        <v>2023</v>
      </c>
      <c r="I258" t="str">
        <f>TEXT(calls[[#This Row],[Date of Call]],"DDDD")</f>
        <v>Tuesday</v>
      </c>
      <c r="J258" t="str">
        <f t="array" ref="J258">_xlfn.IFS(calls[[#This Row],[Duration]]&lt;=10,"Under 10 mins", calls[[#This Row],[Duration]]&lt;=30, "10 to 30 mins", calls[[#This Row],[Duration]]&lt;=60, "30 to 60 mins", calls[[#This Row],[Duration]]&lt;=120, "1 to 2 hours", TRUE, "More than 2 hours")</f>
        <v>More than 2 hours</v>
      </c>
      <c r="K258">
        <f>ROUND(calls[[#This Row],[Satisfaction Rating]],0)</f>
        <v>4</v>
      </c>
    </row>
    <row r="259" spans="1:11" ht="13.8" x14ac:dyDescent="0.25">
      <c r="A259" t="s">
        <v>288</v>
      </c>
      <c r="B259" t="s">
        <v>46</v>
      </c>
      <c r="C259">
        <v>113</v>
      </c>
      <c r="D259" s="4" t="s">
        <v>28</v>
      </c>
      <c r="E259" s="5">
        <v>45006</v>
      </c>
      <c r="F259">
        <v>168</v>
      </c>
      <c r="G259">
        <v>4.0999999999999996</v>
      </c>
      <c r="H259">
        <f>IF(MONTH(calls[[#This Row],[Date of Call]])&lt;=6, YEAR(calls[[#This Row],[Date of Call]]), YEAR(calls[[#This Row],[Date of Call]])+1)</f>
        <v>2023</v>
      </c>
      <c r="I259" t="str">
        <f>TEXT(calls[[#This Row],[Date of Call]],"DDDD")</f>
        <v>Tuesday</v>
      </c>
      <c r="J259" t="str">
        <f t="array" ref="J259">_xlfn.IFS(calls[[#This Row],[Duration]]&lt;=10,"Under 10 mins", calls[[#This Row],[Duration]]&lt;=30, "10 to 30 mins", calls[[#This Row],[Duration]]&lt;=60, "30 to 60 mins", calls[[#This Row],[Duration]]&lt;=120, "1 to 2 hours", TRUE, "More than 2 hours")</f>
        <v>1 to 2 hours</v>
      </c>
      <c r="K259">
        <f>ROUND(calls[[#This Row],[Satisfaction Rating]],0)</f>
        <v>4</v>
      </c>
    </row>
    <row r="260" spans="1:11" ht="13.8" x14ac:dyDescent="0.25">
      <c r="A260" t="s">
        <v>289</v>
      </c>
      <c r="B260" t="s">
        <v>54</v>
      </c>
      <c r="C260">
        <v>154</v>
      </c>
      <c r="D260" s="4" t="s">
        <v>13</v>
      </c>
      <c r="E260" s="5">
        <v>45006</v>
      </c>
      <c r="F260">
        <v>90</v>
      </c>
      <c r="G260">
        <v>4.5</v>
      </c>
      <c r="H260">
        <f>IF(MONTH(calls[[#This Row],[Date of Call]])&lt;=6, YEAR(calls[[#This Row],[Date of Call]]), YEAR(calls[[#This Row],[Date of Call]])+1)</f>
        <v>2023</v>
      </c>
      <c r="I260" t="str">
        <f>TEXT(calls[[#This Row],[Date of Call]],"DDDD")</f>
        <v>Tuesday</v>
      </c>
      <c r="J260" t="str">
        <f t="array" ref="J260">_xlfn.IFS(calls[[#This Row],[Duration]]&lt;=10,"Under 10 mins", calls[[#This Row],[Duration]]&lt;=30, "10 to 30 mins", calls[[#This Row],[Duration]]&lt;=60, "30 to 60 mins", calls[[#This Row],[Duration]]&lt;=120, "1 to 2 hours", TRUE, "More than 2 hours")</f>
        <v>More than 2 hours</v>
      </c>
      <c r="K260">
        <f>ROUND(calls[[#This Row],[Satisfaction Rating]],0)</f>
        <v>5</v>
      </c>
    </row>
    <row r="261" spans="1:11" ht="13.8" x14ac:dyDescent="0.25">
      <c r="A261" t="s">
        <v>290</v>
      </c>
      <c r="B261" t="s">
        <v>54</v>
      </c>
      <c r="C261">
        <v>58</v>
      </c>
      <c r="D261" s="4" t="s">
        <v>23</v>
      </c>
      <c r="E261" s="5">
        <v>45007</v>
      </c>
      <c r="F261">
        <v>176</v>
      </c>
      <c r="G261">
        <v>4.2</v>
      </c>
      <c r="H261">
        <f>IF(MONTH(calls[[#This Row],[Date of Call]])&lt;=6, YEAR(calls[[#This Row],[Date of Call]]), YEAR(calls[[#This Row],[Date of Call]])+1)</f>
        <v>2023</v>
      </c>
      <c r="I261" t="str">
        <f>TEXT(calls[[#This Row],[Date of Call]],"DDDD")</f>
        <v>Wednesday</v>
      </c>
      <c r="J261" t="str">
        <f t="array" ref="J261">_xlfn.IFS(calls[[#This Row],[Duration]]&lt;=10,"Under 10 mins", calls[[#This Row],[Duration]]&lt;=30, "10 to 30 mins", calls[[#This Row],[Duration]]&lt;=60, "30 to 60 mins", calls[[#This Row],[Duration]]&lt;=120, "1 to 2 hours", TRUE, "More than 2 hours")</f>
        <v>30 to 60 mins</v>
      </c>
      <c r="K261">
        <f>ROUND(calls[[#This Row],[Satisfaction Rating]],0)</f>
        <v>4</v>
      </c>
    </row>
    <row r="262" spans="1:11" ht="13.8" x14ac:dyDescent="0.25">
      <c r="A262" t="s">
        <v>291</v>
      </c>
      <c r="B262" t="s">
        <v>22</v>
      </c>
      <c r="C262">
        <v>63</v>
      </c>
      <c r="D262" s="4" t="s">
        <v>32</v>
      </c>
      <c r="E262" s="5">
        <v>45007</v>
      </c>
      <c r="F262">
        <v>87</v>
      </c>
      <c r="G262">
        <v>4.5999999999999996</v>
      </c>
      <c r="H262">
        <f>IF(MONTH(calls[[#This Row],[Date of Call]])&lt;=6, YEAR(calls[[#This Row],[Date of Call]]), YEAR(calls[[#This Row],[Date of Call]])+1)</f>
        <v>2023</v>
      </c>
      <c r="I262" t="str">
        <f>TEXT(calls[[#This Row],[Date of Call]],"DDDD")</f>
        <v>Wednesday</v>
      </c>
      <c r="J262" t="str">
        <f t="array" ref="J262">_xlfn.IFS(calls[[#This Row],[Duration]]&lt;=10,"Under 10 mins", calls[[#This Row],[Duration]]&lt;=30, "10 to 30 mins", calls[[#This Row],[Duration]]&lt;=60, "30 to 60 mins", calls[[#This Row],[Duration]]&lt;=120, "1 to 2 hours", TRUE, "More than 2 hours")</f>
        <v>1 to 2 hours</v>
      </c>
      <c r="K262">
        <f>ROUND(calls[[#This Row],[Satisfaction Rating]],0)</f>
        <v>5</v>
      </c>
    </row>
    <row r="263" spans="1:11" ht="13.8" x14ac:dyDescent="0.25">
      <c r="A263" t="s">
        <v>292</v>
      </c>
      <c r="B263" t="s">
        <v>43</v>
      </c>
      <c r="C263">
        <v>59</v>
      </c>
      <c r="D263" s="4" t="s">
        <v>18</v>
      </c>
      <c r="E263" s="5">
        <v>45007</v>
      </c>
      <c r="F263">
        <v>128</v>
      </c>
      <c r="G263">
        <v>4.5</v>
      </c>
      <c r="H263">
        <f>IF(MONTH(calls[[#This Row],[Date of Call]])&lt;=6, YEAR(calls[[#This Row],[Date of Call]]), YEAR(calls[[#This Row],[Date of Call]])+1)</f>
        <v>2023</v>
      </c>
      <c r="I263" t="str">
        <f>TEXT(calls[[#This Row],[Date of Call]],"DDDD")</f>
        <v>Wednesday</v>
      </c>
      <c r="J263" t="str">
        <f t="array" ref="J263">_xlfn.IFS(calls[[#This Row],[Duration]]&lt;=10,"Under 10 mins", calls[[#This Row],[Duration]]&lt;=30, "10 to 30 mins", calls[[#This Row],[Duration]]&lt;=60, "30 to 60 mins", calls[[#This Row],[Duration]]&lt;=120, "1 to 2 hours", TRUE, "More than 2 hours")</f>
        <v>30 to 60 mins</v>
      </c>
      <c r="K263">
        <f>ROUND(calls[[#This Row],[Satisfaction Rating]],0)</f>
        <v>5</v>
      </c>
    </row>
    <row r="264" spans="1:11" ht="13.8" x14ac:dyDescent="0.25">
      <c r="A264" t="s">
        <v>293</v>
      </c>
      <c r="B264" t="s">
        <v>84</v>
      </c>
      <c r="C264">
        <v>129</v>
      </c>
      <c r="D264" s="4" t="s">
        <v>32</v>
      </c>
      <c r="E264" s="5">
        <v>45007</v>
      </c>
      <c r="F264">
        <v>120</v>
      </c>
      <c r="G264">
        <v>4.0999999999999996</v>
      </c>
      <c r="H264">
        <f>IF(MONTH(calls[[#This Row],[Date of Call]])&lt;=6, YEAR(calls[[#This Row],[Date of Call]]), YEAR(calls[[#This Row],[Date of Call]])+1)</f>
        <v>2023</v>
      </c>
      <c r="I264" t="str">
        <f>TEXT(calls[[#This Row],[Date of Call]],"DDDD")</f>
        <v>Wednesday</v>
      </c>
      <c r="J264" t="str">
        <f t="array" ref="J264">_xlfn.IFS(calls[[#This Row],[Duration]]&lt;=10,"Under 10 mins", calls[[#This Row],[Duration]]&lt;=30, "10 to 30 mins", calls[[#This Row],[Duration]]&lt;=60, "30 to 60 mins", calls[[#This Row],[Duration]]&lt;=120, "1 to 2 hours", TRUE, "More than 2 hours")</f>
        <v>More than 2 hours</v>
      </c>
      <c r="K264">
        <f>ROUND(calls[[#This Row],[Satisfaction Rating]],0)</f>
        <v>4</v>
      </c>
    </row>
    <row r="265" spans="1:11" ht="13.8" x14ac:dyDescent="0.25">
      <c r="A265" t="s">
        <v>294</v>
      </c>
      <c r="B265" t="s">
        <v>37</v>
      </c>
      <c r="C265">
        <v>101</v>
      </c>
      <c r="D265" s="4" t="s">
        <v>28</v>
      </c>
      <c r="E265" s="5">
        <v>45007</v>
      </c>
      <c r="F265">
        <v>130</v>
      </c>
      <c r="G265">
        <v>4.8</v>
      </c>
      <c r="H265">
        <f>IF(MONTH(calls[[#This Row],[Date of Call]])&lt;=6, YEAR(calls[[#This Row],[Date of Call]]), YEAR(calls[[#This Row],[Date of Call]])+1)</f>
        <v>2023</v>
      </c>
      <c r="I265" t="str">
        <f>TEXT(calls[[#This Row],[Date of Call]],"DDDD")</f>
        <v>Wednesday</v>
      </c>
      <c r="J265" t="str">
        <f t="array" ref="J265">_xlfn.IFS(calls[[#This Row],[Duration]]&lt;=10,"Under 10 mins", calls[[#This Row],[Duration]]&lt;=30, "10 to 30 mins", calls[[#This Row],[Duration]]&lt;=60, "30 to 60 mins", calls[[#This Row],[Duration]]&lt;=120, "1 to 2 hours", TRUE, "More than 2 hours")</f>
        <v>1 to 2 hours</v>
      </c>
      <c r="K265">
        <f>ROUND(calls[[#This Row],[Satisfaction Rating]],0)</f>
        <v>5</v>
      </c>
    </row>
    <row r="266" spans="1:11" ht="13.8" x14ac:dyDescent="0.25">
      <c r="A266" t="s">
        <v>295</v>
      </c>
      <c r="B266" t="s">
        <v>51</v>
      </c>
      <c r="C266">
        <v>154</v>
      </c>
      <c r="D266" s="4" t="s">
        <v>18</v>
      </c>
      <c r="E266" s="5">
        <v>45007</v>
      </c>
      <c r="F266">
        <v>172</v>
      </c>
      <c r="G266">
        <v>3.1</v>
      </c>
      <c r="H266">
        <f>IF(MONTH(calls[[#This Row],[Date of Call]])&lt;=6, YEAR(calls[[#This Row],[Date of Call]]), YEAR(calls[[#This Row],[Date of Call]])+1)</f>
        <v>2023</v>
      </c>
      <c r="I266" t="str">
        <f>TEXT(calls[[#This Row],[Date of Call]],"DDDD")</f>
        <v>Wednesday</v>
      </c>
      <c r="J266" t="str">
        <f t="array" ref="J266">_xlfn.IFS(calls[[#This Row],[Duration]]&lt;=10,"Under 10 mins", calls[[#This Row],[Duration]]&lt;=30, "10 to 30 mins", calls[[#This Row],[Duration]]&lt;=60, "30 to 60 mins", calls[[#This Row],[Duration]]&lt;=120, "1 to 2 hours", TRUE, "More than 2 hours")</f>
        <v>More than 2 hours</v>
      </c>
      <c r="K266">
        <f>ROUND(calls[[#This Row],[Satisfaction Rating]],0)</f>
        <v>3</v>
      </c>
    </row>
    <row r="267" spans="1:11" ht="13.8" x14ac:dyDescent="0.25">
      <c r="A267" t="s">
        <v>296</v>
      </c>
      <c r="B267" t="s">
        <v>31</v>
      </c>
      <c r="C267">
        <v>131</v>
      </c>
      <c r="D267" s="4" t="s">
        <v>18</v>
      </c>
      <c r="E267" s="5">
        <v>45007</v>
      </c>
      <c r="F267">
        <v>58</v>
      </c>
      <c r="G267">
        <v>4.9000000000000004</v>
      </c>
      <c r="H267">
        <f>IF(MONTH(calls[[#This Row],[Date of Call]])&lt;=6, YEAR(calls[[#This Row],[Date of Call]]), YEAR(calls[[#This Row],[Date of Call]])+1)</f>
        <v>2023</v>
      </c>
      <c r="I267" t="str">
        <f>TEXT(calls[[#This Row],[Date of Call]],"DDDD")</f>
        <v>Wednesday</v>
      </c>
      <c r="J267" t="str">
        <f t="array" ref="J267">_xlfn.IFS(calls[[#This Row],[Duration]]&lt;=10,"Under 10 mins", calls[[#This Row],[Duration]]&lt;=30, "10 to 30 mins", calls[[#This Row],[Duration]]&lt;=60, "30 to 60 mins", calls[[#This Row],[Duration]]&lt;=120, "1 to 2 hours", TRUE, "More than 2 hours")</f>
        <v>More than 2 hours</v>
      </c>
      <c r="K267">
        <f>ROUND(calls[[#This Row],[Satisfaction Rating]],0)</f>
        <v>5</v>
      </c>
    </row>
    <row r="268" spans="1:11" ht="13.8" x14ac:dyDescent="0.25">
      <c r="A268" t="s">
        <v>297</v>
      </c>
      <c r="B268" t="s">
        <v>26</v>
      </c>
      <c r="C268">
        <v>111</v>
      </c>
      <c r="D268" s="4" t="s">
        <v>28</v>
      </c>
      <c r="E268" s="5">
        <v>45008</v>
      </c>
      <c r="F268">
        <v>86</v>
      </c>
      <c r="G268">
        <v>4.0999999999999996</v>
      </c>
      <c r="H268">
        <f>IF(MONTH(calls[[#This Row],[Date of Call]])&lt;=6, YEAR(calls[[#This Row],[Date of Call]]), YEAR(calls[[#This Row],[Date of Call]])+1)</f>
        <v>2023</v>
      </c>
      <c r="I268" t="str">
        <f>TEXT(calls[[#This Row],[Date of Call]],"DDDD")</f>
        <v>Thursday</v>
      </c>
      <c r="J268" t="str">
        <f t="array" ref="J268">_xlfn.IFS(calls[[#This Row],[Duration]]&lt;=10,"Under 10 mins", calls[[#This Row],[Duration]]&lt;=30, "10 to 30 mins", calls[[#This Row],[Duration]]&lt;=60, "30 to 60 mins", calls[[#This Row],[Duration]]&lt;=120, "1 to 2 hours", TRUE, "More than 2 hours")</f>
        <v>1 to 2 hours</v>
      </c>
      <c r="K268">
        <f>ROUND(calls[[#This Row],[Satisfaction Rating]],0)</f>
        <v>4</v>
      </c>
    </row>
    <row r="269" spans="1:11" ht="13.8" x14ac:dyDescent="0.25">
      <c r="A269" t="s">
        <v>298</v>
      </c>
      <c r="B269" t="s">
        <v>54</v>
      </c>
      <c r="C269">
        <v>142</v>
      </c>
      <c r="D269" s="4" t="s">
        <v>28</v>
      </c>
      <c r="E269" s="5">
        <v>45009</v>
      </c>
      <c r="F269">
        <v>31</v>
      </c>
      <c r="G269">
        <v>4.4000000000000004</v>
      </c>
      <c r="H269">
        <f>IF(MONTH(calls[[#This Row],[Date of Call]])&lt;=6, YEAR(calls[[#This Row],[Date of Call]]), YEAR(calls[[#This Row],[Date of Call]])+1)</f>
        <v>2023</v>
      </c>
      <c r="I269" t="str">
        <f>TEXT(calls[[#This Row],[Date of Call]],"DDDD")</f>
        <v>Friday</v>
      </c>
      <c r="J269" t="str">
        <f t="array" ref="J269">_xlfn.IFS(calls[[#This Row],[Duration]]&lt;=10,"Under 10 mins", calls[[#This Row],[Duration]]&lt;=30, "10 to 30 mins", calls[[#This Row],[Duration]]&lt;=60, "30 to 60 mins", calls[[#This Row],[Duration]]&lt;=120, "1 to 2 hours", TRUE, "More than 2 hours")</f>
        <v>More than 2 hours</v>
      </c>
      <c r="K269">
        <f>ROUND(calls[[#This Row],[Satisfaction Rating]],0)</f>
        <v>4</v>
      </c>
    </row>
    <row r="270" spans="1:11" ht="13.8" x14ac:dyDescent="0.25">
      <c r="A270" t="s">
        <v>299</v>
      </c>
      <c r="B270" t="s">
        <v>17</v>
      </c>
      <c r="C270">
        <v>93</v>
      </c>
      <c r="D270" s="4" t="s">
        <v>32</v>
      </c>
      <c r="E270" s="5">
        <v>45009</v>
      </c>
      <c r="F270">
        <v>72</v>
      </c>
      <c r="G270">
        <v>4.4000000000000004</v>
      </c>
      <c r="H270">
        <f>IF(MONTH(calls[[#This Row],[Date of Call]])&lt;=6, YEAR(calls[[#This Row],[Date of Call]]), YEAR(calls[[#This Row],[Date of Call]])+1)</f>
        <v>2023</v>
      </c>
      <c r="I270" t="str">
        <f>TEXT(calls[[#This Row],[Date of Call]],"DDDD")</f>
        <v>Friday</v>
      </c>
      <c r="J270" t="str">
        <f t="array" ref="J270">_xlfn.IFS(calls[[#This Row],[Duration]]&lt;=10,"Under 10 mins", calls[[#This Row],[Duration]]&lt;=30, "10 to 30 mins", calls[[#This Row],[Duration]]&lt;=60, "30 to 60 mins", calls[[#This Row],[Duration]]&lt;=120, "1 to 2 hours", TRUE, "More than 2 hours")</f>
        <v>1 to 2 hours</v>
      </c>
      <c r="K270">
        <f>ROUND(calls[[#This Row],[Satisfaction Rating]],0)</f>
        <v>4</v>
      </c>
    </row>
    <row r="271" spans="1:11" ht="13.8" x14ac:dyDescent="0.25">
      <c r="A271" t="s">
        <v>300</v>
      </c>
      <c r="B271" t="s">
        <v>54</v>
      </c>
      <c r="C271">
        <v>125</v>
      </c>
      <c r="D271" s="4" t="s">
        <v>13</v>
      </c>
      <c r="E271" s="5">
        <v>45010</v>
      </c>
      <c r="F271">
        <v>27</v>
      </c>
      <c r="G271">
        <v>3</v>
      </c>
      <c r="H271">
        <f>IF(MONTH(calls[[#This Row],[Date of Call]])&lt;=6, YEAR(calls[[#This Row],[Date of Call]]), YEAR(calls[[#This Row],[Date of Call]])+1)</f>
        <v>2023</v>
      </c>
      <c r="I271" t="str">
        <f>TEXT(calls[[#This Row],[Date of Call]],"DDDD")</f>
        <v>Saturday</v>
      </c>
      <c r="J271" t="str">
        <f t="array" ref="J271">_xlfn.IFS(calls[[#This Row],[Duration]]&lt;=10,"Under 10 mins", calls[[#This Row],[Duration]]&lt;=30, "10 to 30 mins", calls[[#This Row],[Duration]]&lt;=60, "30 to 60 mins", calls[[#This Row],[Duration]]&lt;=120, "1 to 2 hours", TRUE, "More than 2 hours")</f>
        <v>More than 2 hours</v>
      </c>
      <c r="K271">
        <f>ROUND(calls[[#This Row],[Satisfaction Rating]],0)</f>
        <v>3</v>
      </c>
    </row>
    <row r="272" spans="1:11" ht="13.8" x14ac:dyDescent="0.25">
      <c r="A272" t="s">
        <v>301</v>
      </c>
      <c r="B272" t="s">
        <v>84</v>
      </c>
      <c r="C272">
        <v>76</v>
      </c>
      <c r="D272" s="4" t="s">
        <v>18</v>
      </c>
      <c r="E272" s="5">
        <v>45010</v>
      </c>
      <c r="F272">
        <v>110</v>
      </c>
      <c r="G272">
        <v>4.4000000000000004</v>
      </c>
      <c r="H272">
        <f>IF(MONTH(calls[[#This Row],[Date of Call]])&lt;=6, YEAR(calls[[#This Row],[Date of Call]]), YEAR(calls[[#This Row],[Date of Call]])+1)</f>
        <v>2023</v>
      </c>
      <c r="I272" t="str">
        <f>TEXT(calls[[#This Row],[Date of Call]],"DDDD")</f>
        <v>Saturday</v>
      </c>
      <c r="J272" t="str">
        <f t="array" ref="J272">_xlfn.IFS(calls[[#This Row],[Duration]]&lt;=10,"Under 10 mins", calls[[#This Row],[Duration]]&lt;=30, "10 to 30 mins", calls[[#This Row],[Duration]]&lt;=60, "30 to 60 mins", calls[[#This Row],[Duration]]&lt;=120, "1 to 2 hours", TRUE, "More than 2 hours")</f>
        <v>1 to 2 hours</v>
      </c>
      <c r="K272">
        <f>ROUND(calls[[#This Row],[Satisfaction Rating]],0)</f>
        <v>4</v>
      </c>
    </row>
    <row r="273" spans="1:11" ht="13.8" x14ac:dyDescent="0.25">
      <c r="A273" t="s">
        <v>302</v>
      </c>
      <c r="B273" t="s">
        <v>46</v>
      </c>
      <c r="C273">
        <v>69</v>
      </c>
      <c r="D273" s="4" t="s">
        <v>32</v>
      </c>
      <c r="E273" s="5">
        <v>45010</v>
      </c>
      <c r="F273">
        <v>126</v>
      </c>
      <c r="G273">
        <v>3.7</v>
      </c>
      <c r="H273">
        <f>IF(MONTH(calls[[#This Row],[Date of Call]])&lt;=6, YEAR(calls[[#This Row],[Date of Call]]), YEAR(calls[[#This Row],[Date of Call]])+1)</f>
        <v>2023</v>
      </c>
      <c r="I273" t="str">
        <f>TEXT(calls[[#This Row],[Date of Call]],"DDDD")</f>
        <v>Saturday</v>
      </c>
      <c r="J273" t="str">
        <f t="array" ref="J273">_xlfn.IFS(calls[[#This Row],[Duration]]&lt;=10,"Under 10 mins", calls[[#This Row],[Duration]]&lt;=30, "10 to 30 mins", calls[[#This Row],[Duration]]&lt;=60, "30 to 60 mins", calls[[#This Row],[Duration]]&lt;=120, "1 to 2 hours", TRUE, "More than 2 hours")</f>
        <v>1 to 2 hours</v>
      </c>
      <c r="K273">
        <f>ROUND(calls[[#This Row],[Satisfaction Rating]],0)</f>
        <v>4</v>
      </c>
    </row>
    <row r="274" spans="1:11" ht="13.8" x14ac:dyDescent="0.25">
      <c r="A274" t="s">
        <v>303</v>
      </c>
      <c r="B274" t="s">
        <v>43</v>
      </c>
      <c r="C274">
        <v>149</v>
      </c>
      <c r="D274" s="4" t="s">
        <v>13</v>
      </c>
      <c r="E274" s="5">
        <v>45010</v>
      </c>
      <c r="F274">
        <v>60</v>
      </c>
      <c r="G274">
        <v>3.9</v>
      </c>
      <c r="H274">
        <f>IF(MONTH(calls[[#This Row],[Date of Call]])&lt;=6, YEAR(calls[[#This Row],[Date of Call]]), YEAR(calls[[#This Row],[Date of Call]])+1)</f>
        <v>2023</v>
      </c>
      <c r="I274" t="str">
        <f>TEXT(calls[[#This Row],[Date of Call]],"DDDD")</f>
        <v>Saturday</v>
      </c>
      <c r="J274" t="str">
        <f t="array" ref="J274">_xlfn.IFS(calls[[#This Row],[Duration]]&lt;=10,"Under 10 mins", calls[[#This Row],[Duration]]&lt;=30, "10 to 30 mins", calls[[#This Row],[Duration]]&lt;=60, "30 to 60 mins", calls[[#This Row],[Duration]]&lt;=120, "1 to 2 hours", TRUE, "More than 2 hours")</f>
        <v>More than 2 hours</v>
      </c>
      <c r="K274">
        <f>ROUND(calls[[#This Row],[Satisfaction Rating]],0)</f>
        <v>4</v>
      </c>
    </row>
    <row r="275" spans="1:11" ht="13.8" x14ac:dyDescent="0.25">
      <c r="A275" t="s">
        <v>304</v>
      </c>
      <c r="B275" t="s">
        <v>54</v>
      </c>
      <c r="C275">
        <v>57</v>
      </c>
      <c r="D275" s="4" t="s">
        <v>32</v>
      </c>
      <c r="E275" s="5">
        <v>45010</v>
      </c>
      <c r="F275">
        <v>35</v>
      </c>
      <c r="G275">
        <v>3.5</v>
      </c>
      <c r="H275">
        <f>IF(MONTH(calls[[#This Row],[Date of Call]])&lt;=6, YEAR(calls[[#This Row],[Date of Call]]), YEAR(calls[[#This Row],[Date of Call]])+1)</f>
        <v>2023</v>
      </c>
      <c r="I275" t="str">
        <f>TEXT(calls[[#This Row],[Date of Call]],"DDDD")</f>
        <v>Saturday</v>
      </c>
      <c r="J275" t="str">
        <f t="array" ref="J275">_xlfn.IFS(calls[[#This Row],[Duration]]&lt;=10,"Under 10 mins", calls[[#This Row],[Duration]]&lt;=30, "10 to 30 mins", calls[[#This Row],[Duration]]&lt;=60, "30 to 60 mins", calls[[#This Row],[Duration]]&lt;=120, "1 to 2 hours", TRUE, "More than 2 hours")</f>
        <v>30 to 60 mins</v>
      </c>
      <c r="K275">
        <f>ROUND(calls[[#This Row],[Satisfaction Rating]],0)</f>
        <v>4</v>
      </c>
    </row>
    <row r="276" spans="1:11" ht="13.8" x14ac:dyDescent="0.25">
      <c r="A276" t="s">
        <v>305</v>
      </c>
      <c r="B276" t="s">
        <v>15</v>
      </c>
      <c r="C276">
        <v>113</v>
      </c>
      <c r="D276" s="4" t="s">
        <v>18</v>
      </c>
      <c r="E276" s="5">
        <v>45010</v>
      </c>
      <c r="F276">
        <v>81</v>
      </c>
      <c r="G276">
        <v>3.5</v>
      </c>
      <c r="H276">
        <f>IF(MONTH(calls[[#This Row],[Date of Call]])&lt;=6, YEAR(calls[[#This Row],[Date of Call]]), YEAR(calls[[#This Row],[Date of Call]])+1)</f>
        <v>2023</v>
      </c>
      <c r="I276" t="str">
        <f>TEXT(calls[[#This Row],[Date of Call]],"DDDD")</f>
        <v>Saturday</v>
      </c>
      <c r="J276" t="str">
        <f t="array" ref="J276">_xlfn.IFS(calls[[#This Row],[Duration]]&lt;=10,"Under 10 mins", calls[[#This Row],[Duration]]&lt;=30, "10 to 30 mins", calls[[#This Row],[Duration]]&lt;=60, "30 to 60 mins", calls[[#This Row],[Duration]]&lt;=120, "1 to 2 hours", TRUE, "More than 2 hours")</f>
        <v>1 to 2 hours</v>
      </c>
      <c r="K276">
        <f>ROUND(calls[[#This Row],[Satisfaction Rating]],0)</f>
        <v>4</v>
      </c>
    </row>
    <row r="277" spans="1:11" ht="13.8" x14ac:dyDescent="0.25">
      <c r="A277" t="s">
        <v>306</v>
      </c>
      <c r="B277" t="s">
        <v>12</v>
      </c>
      <c r="C277">
        <v>160</v>
      </c>
      <c r="D277" s="4" t="s">
        <v>13</v>
      </c>
      <c r="E277" s="5">
        <v>45010</v>
      </c>
      <c r="F277">
        <v>116</v>
      </c>
      <c r="G277">
        <v>3.4</v>
      </c>
      <c r="H277">
        <f>IF(MONTH(calls[[#This Row],[Date of Call]])&lt;=6, YEAR(calls[[#This Row],[Date of Call]]), YEAR(calls[[#This Row],[Date of Call]])+1)</f>
        <v>2023</v>
      </c>
      <c r="I277" t="str">
        <f>TEXT(calls[[#This Row],[Date of Call]],"DDDD")</f>
        <v>Saturday</v>
      </c>
      <c r="J277" t="str">
        <f t="array" ref="J277">_xlfn.IFS(calls[[#This Row],[Duration]]&lt;=10,"Under 10 mins", calls[[#This Row],[Duration]]&lt;=30, "10 to 30 mins", calls[[#This Row],[Duration]]&lt;=60, "30 to 60 mins", calls[[#This Row],[Duration]]&lt;=120, "1 to 2 hours", TRUE, "More than 2 hours")</f>
        <v>More than 2 hours</v>
      </c>
      <c r="K277">
        <f>ROUND(calls[[#This Row],[Satisfaction Rating]],0)</f>
        <v>3</v>
      </c>
    </row>
    <row r="278" spans="1:11" ht="13.8" x14ac:dyDescent="0.25">
      <c r="A278" t="s">
        <v>307</v>
      </c>
      <c r="B278" t="s">
        <v>22</v>
      </c>
      <c r="C278">
        <v>158</v>
      </c>
      <c r="D278" s="4" t="s">
        <v>23</v>
      </c>
      <c r="E278" s="5">
        <v>45010</v>
      </c>
      <c r="F278">
        <v>60</v>
      </c>
      <c r="G278">
        <v>4.5</v>
      </c>
      <c r="H278">
        <f>IF(MONTH(calls[[#This Row],[Date of Call]])&lt;=6, YEAR(calls[[#This Row],[Date of Call]]), YEAR(calls[[#This Row],[Date of Call]])+1)</f>
        <v>2023</v>
      </c>
      <c r="I278" t="str">
        <f>TEXT(calls[[#This Row],[Date of Call]],"DDDD")</f>
        <v>Saturday</v>
      </c>
      <c r="J278" t="str">
        <f t="array" ref="J278">_xlfn.IFS(calls[[#This Row],[Duration]]&lt;=10,"Under 10 mins", calls[[#This Row],[Duration]]&lt;=30, "10 to 30 mins", calls[[#This Row],[Duration]]&lt;=60, "30 to 60 mins", calls[[#This Row],[Duration]]&lt;=120, "1 to 2 hours", TRUE, "More than 2 hours")</f>
        <v>More than 2 hours</v>
      </c>
      <c r="K278">
        <f>ROUND(calls[[#This Row],[Satisfaction Rating]],0)</f>
        <v>5</v>
      </c>
    </row>
    <row r="279" spans="1:11" ht="13.8" x14ac:dyDescent="0.25">
      <c r="A279" t="s">
        <v>308</v>
      </c>
      <c r="B279" t="s">
        <v>46</v>
      </c>
      <c r="C279">
        <v>77</v>
      </c>
      <c r="D279" s="4" t="s">
        <v>13</v>
      </c>
      <c r="E279" s="5">
        <v>45011</v>
      </c>
      <c r="F279">
        <v>130</v>
      </c>
      <c r="G279">
        <v>4.2</v>
      </c>
      <c r="H279">
        <f>IF(MONTH(calls[[#This Row],[Date of Call]])&lt;=6, YEAR(calls[[#This Row],[Date of Call]]), YEAR(calls[[#This Row],[Date of Call]])+1)</f>
        <v>2023</v>
      </c>
      <c r="I279" t="str">
        <f>TEXT(calls[[#This Row],[Date of Call]],"DDDD")</f>
        <v>Sunday</v>
      </c>
      <c r="J279" t="str">
        <f t="array" ref="J279">_xlfn.IFS(calls[[#This Row],[Duration]]&lt;=10,"Under 10 mins", calls[[#This Row],[Duration]]&lt;=30, "10 to 30 mins", calls[[#This Row],[Duration]]&lt;=60, "30 to 60 mins", calls[[#This Row],[Duration]]&lt;=120, "1 to 2 hours", TRUE, "More than 2 hours")</f>
        <v>1 to 2 hours</v>
      </c>
      <c r="K279">
        <f>ROUND(calls[[#This Row],[Satisfaction Rating]],0)</f>
        <v>4</v>
      </c>
    </row>
    <row r="280" spans="1:11" ht="13.8" x14ac:dyDescent="0.25">
      <c r="A280" t="s">
        <v>309</v>
      </c>
      <c r="B280" t="s">
        <v>35</v>
      </c>
      <c r="C280">
        <v>118</v>
      </c>
      <c r="D280" s="4" t="s">
        <v>28</v>
      </c>
      <c r="E280" s="5">
        <v>45011</v>
      </c>
      <c r="F280">
        <v>99</v>
      </c>
      <c r="G280">
        <v>5</v>
      </c>
      <c r="H280">
        <f>IF(MONTH(calls[[#This Row],[Date of Call]])&lt;=6, YEAR(calls[[#This Row],[Date of Call]]), YEAR(calls[[#This Row],[Date of Call]])+1)</f>
        <v>2023</v>
      </c>
      <c r="I280" t="str">
        <f>TEXT(calls[[#This Row],[Date of Call]],"DDDD")</f>
        <v>Sunday</v>
      </c>
      <c r="J280" t="str">
        <f t="array" ref="J280">_xlfn.IFS(calls[[#This Row],[Duration]]&lt;=10,"Under 10 mins", calls[[#This Row],[Duration]]&lt;=30, "10 to 30 mins", calls[[#This Row],[Duration]]&lt;=60, "30 to 60 mins", calls[[#This Row],[Duration]]&lt;=120, "1 to 2 hours", TRUE, "More than 2 hours")</f>
        <v>1 to 2 hours</v>
      </c>
      <c r="K280">
        <f>ROUND(calls[[#This Row],[Satisfaction Rating]],0)</f>
        <v>5</v>
      </c>
    </row>
    <row r="281" spans="1:11" ht="13.8" x14ac:dyDescent="0.25">
      <c r="A281" t="s">
        <v>310</v>
      </c>
      <c r="B281" t="s">
        <v>51</v>
      </c>
      <c r="C281">
        <v>75</v>
      </c>
      <c r="D281" s="4" t="s">
        <v>18</v>
      </c>
      <c r="E281" s="5">
        <v>45011</v>
      </c>
      <c r="F281">
        <v>135</v>
      </c>
      <c r="G281">
        <v>4.7</v>
      </c>
      <c r="H281">
        <f>IF(MONTH(calls[[#This Row],[Date of Call]])&lt;=6, YEAR(calls[[#This Row],[Date of Call]]), YEAR(calls[[#This Row],[Date of Call]])+1)</f>
        <v>2023</v>
      </c>
      <c r="I281" t="str">
        <f>TEXT(calls[[#This Row],[Date of Call]],"DDDD")</f>
        <v>Sunday</v>
      </c>
      <c r="J281" t="str">
        <f t="array" ref="J281">_xlfn.IFS(calls[[#This Row],[Duration]]&lt;=10,"Under 10 mins", calls[[#This Row],[Duration]]&lt;=30, "10 to 30 mins", calls[[#This Row],[Duration]]&lt;=60, "30 to 60 mins", calls[[#This Row],[Duration]]&lt;=120, "1 to 2 hours", TRUE, "More than 2 hours")</f>
        <v>1 to 2 hours</v>
      </c>
      <c r="K281">
        <f>ROUND(calls[[#This Row],[Satisfaction Rating]],0)</f>
        <v>5</v>
      </c>
    </row>
    <row r="282" spans="1:11" ht="13.8" x14ac:dyDescent="0.25">
      <c r="A282" t="s">
        <v>311</v>
      </c>
      <c r="B282" t="s">
        <v>15</v>
      </c>
      <c r="C282">
        <v>103</v>
      </c>
      <c r="D282" s="4" t="s">
        <v>13</v>
      </c>
      <c r="E282" s="5">
        <v>45011</v>
      </c>
      <c r="F282">
        <v>42</v>
      </c>
      <c r="G282">
        <v>2.8</v>
      </c>
      <c r="H282">
        <f>IF(MONTH(calls[[#This Row],[Date of Call]])&lt;=6, YEAR(calls[[#This Row],[Date of Call]]), YEAR(calls[[#This Row],[Date of Call]])+1)</f>
        <v>2023</v>
      </c>
      <c r="I282" t="str">
        <f>TEXT(calls[[#This Row],[Date of Call]],"DDDD")</f>
        <v>Sunday</v>
      </c>
      <c r="J282" t="str">
        <f t="array" ref="J282">_xlfn.IFS(calls[[#This Row],[Duration]]&lt;=10,"Under 10 mins", calls[[#This Row],[Duration]]&lt;=30, "10 to 30 mins", calls[[#This Row],[Duration]]&lt;=60, "30 to 60 mins", calls[[#This Row],[Duration]]&lt;=120, "1 to 2 hours", TRUE, "More than 2 hours")</f>
        <v>1 to 2 hours</v>
      </c>
      <c r="K282">
        <f>ROUND(calls[[#This Row],[Satisfaction Rating]],0)</f>
        <v>3</v>
      </c>
    </row>
    <row r="283" spans="1:11" ht="13.8" x14ac:dyDescent="0.25">
      <c r="A283" t="s">
        <v>312</v>
      </c>
      <c r="B283" t="s">
        <v>46</v>
      </c>
      <c r="C283">
        <v>116</v>
      </c>
      <c r="D283" s="4" t="s">
        <v>28</v>
      </c>
      <c r="E283" s="5">
        <v>45012</v>
      </c>
      <c r="F283">
        <v>63</v>
      </c>
      <c r="G283">
        <v>3.4</v>
      </c>
      <c r="H283">
        <f>IF(MONTH(calls[[#This Row],[Date of Call]])&lt;=6, YEAR(calls[[#This Row],[Date of Call]]), YEAR(calls[[#This Row],[Date of Call]])+1)</f>
        <v>2023</v>
      </c>
      <c r="I283" t="str">
        <f>TEXT(calls[[#This Row],[Date of Call]],"DDDD")</f>
        <v>Monday</v>
      </c>
      <c r="J283" t="str">
        <f t="array" ref="J283">_xlfn.IFS(calls[[#This Row],[Duration]]&lt;=10,"Under 10 mins", calls[[#This Row],[Duration]]&lt;=30, "10 to 30 mins", calls[[#This Row],[Duration]]&lt;=60, "30 to 60 mins", calls[[#This Row],[Duration]]&lt;=120, "1 to 2 hours", TRUE, "More than 2 hours")</f>
        <v>1 to 2 hours</v>
      </c>
      <c r="K283">
        <f>ROUND(calls[[#This Row],[Satisfaction Rating]],0)</f>
        <v>3</v>
      </c>
    </row>
    <row r="284" spans="1:11" ht="13.8" x14ac:dyDescent="0.25">
      <c r="A284" t="s">
        <v>313</v>
      </c>
      <c r="B284" t="s">
        <v>26</v>
      </c>
      <c r="C284">
        <v>61</v>
      </c>
      <c r="D284" s="4" t="s">
        <v>23</v>
      </c>
      <c r="E284" s="5">
        <v>45012</v>
      </c>
      <c r="F284">
        <v>140</v>
      </c>
      <c r="G284">
        <v>1.8</v>
      </c>
      <c r="H284">
        <f>IF(MONTH(calls[[#This Row],[Date of Call]])&lt;=6, YEAR(calls[[#This Row],[Date of Call]]), YEAR(calls[[#This Row],[Date of Call]])+1)</f>
        <v>2023</v>
      </c>
      <c r="I284" t="str">
        <f>TEXT(calls[[#This Row],[Date of Call]],"DDDD")</f>
        <v>Monday</v>
      </c>
      <c r="J284" t="str">
        <f t="array" ref="J284">_xlfn.IFS(calls[[#This Row],[Duration]]&lt;=10,"Under 10 mins", calls[[#This Row],[Duration]]&lt;=30, "10 to 30 mins", calls[[#This Row],[Duration]]&lt;=60, "30 to 60 mins", calls[[#This Row],[Duration]]&lt;=120, "1 to 2 hours", TRUE, "More than 2 hours")</f>
        <v>1 to 2 hours</v>
      </c>
      <c r="K284">
        <f>ROUND(calls[[#This Row],[Satisfaction Rating]],0)</f>
        <v>2</v>
      </c>
    </row>
    <row r="285" spans="1:11" ht="13.8" x14ac:dyDescent="0.25">
      <c r="A285" t="s">
        <v>314</v>
      </c>
      <c r="B285" t="s">
        <v>54</v>
      </c>
      <c r="C285">
        <v>126</v>
      </c>
      <c r="D285" s="4" t="s">
        <v>18</v>
      </c>
      <c r="E285" s="5">
        <v>45012</v>
      </c>
      <c r="F285">
        <v>128</v>
      </c>
      <c r="G285">
        <v>4.2</v>
      </c>
      <c r="H285">
        <f>IF(MONTH(calls[[#This Row],[Date of Call]])&lt;=6, YEAR(calls[[#This Row],[Date of Call]]), YEAR(calls[[#This Row],[Date of Call]])+1)</f>
        <v>2023</v>
      </c>
      <c r="I285" t="str">
        <f>TEXT(calls[[#This Row],[Date of Call]],"DDDD")</f>
        <v>Monday</v>
      </c>
      <c r="J285" t="str">
        <f t="array" ref="J285">_xlfn.IFS(calls[[#This Row],[Duration]]&lt;=10,"Under 10 mins", calls[[#This Row],[Duration]]&lt;=30, "10 to 30 mins", calls[[#This Row],[Duration]]&lt;=60, "30 to 60 mins", calls[[#This Row],[Duration]]&lt;=120, "1 to 2 hours", TRUE, "More than 2 hours")</f>
        <v>More than 2 hours</v>
      </c>
      <c r="K285">
        <f>ROUND(calls[[#This Row],[Satisfaction Rating]],0)</f>
        <v>4</v>
      </c>
    </row>
    <row r="286" spans="1:11" ht="13.8" x14ac:dyDescent="0.25">
      <c r="A286" t="s">
        <v>315</v>
      </c>
      <c r="B286" t="s">
        <v>37</v>
      </c>
      <c r="C286">
        <v>141</v>
      </c>
      <c r="D286" s="4" t="s">
        <v>32</v>
      </c>
      <c r="E286" s="5">
        <v>45012</v>
      </c>
      <c r="F286">
        <v>80</v>
      </c>
      <c r="G286">
        <v>4.4000000000000004</v>
      </c>
      <c r="H286">
        <f>IF(MONTH(calls[[#This Row],[Date of Call]])&lt;=6, YEAR(calls[[#This Row],[Date of Call]]), YEAR(calls[[#This Row],[Date of Call]])+1)</f>
        <v>2023</v>
      </c>
      <c r="I286" t="str">
        <f>TEXT(calls[[#This Row],[Date of Call]],"DDDD")</f>
        <v>Monday</v>
      </c>
      <c r="J286" t="str">
        <f t="array" ref="J286">_xlfn.IFS(calls[[#This Row],[Duration]]&lt;=10,"Under 10 mins", calls[[#This Row],[Duration]]&lt;=30, "10 to 30 mins", calls[[#This Row],[Duration]]&lt;=60, "30 to 60 mins", calls[[#This Row],[Duration]]&lt;=120, "1 to 2 hours", TRUE, "More than 2 hours")</f>
        <v>More than 2 hours</v>
      </c>
      <c r="K286">
        <f>ROUND(calls[[#This Row],[Satisfaction Rating]],0)</f>
        <v>4</v>
      </c>
    </row>
    <row r="287" spans="1:11" ht="13.8" x14ac:dyDescent="0.25">
      <c r="A287" t="s">
        <v>316</v>
      </c>
      <c r="B287" t="s">
        <v>22</v>
      </c>
      <c r="C287">
        <v>95</v>
      </c>
      <c r="D287" s="4" t="s">
        <v>28</v>
      </c>
      <c r="E287" s="5">
        <v>45012</v>
      </c>
      <c r="F287">
        <v>28</v>
      </c>
      <c r="G287">
        <v>2.7</v>
      </c>
      <c r="H287">
        <f>IF(MONTH(calls[[#This Row],[Date of Call]])&lt;=6, YEAR(calls[[#This Row],[Date of Call]]), YEAR(calls[[#This Row],[Date of Call]])+1)</f>
        <v>2023</v>
      </c>
      <c r="I287" t="str">
        <f>TEXT(calls[[#This Row],[Date of Call]],"DDDD")</f>
        <v>Monday</v>
      </c>
      <c r="J287" t="str">
        <f t="array" ref="J287">_xlfn.IFS(calls[[#This Row],[Duration]]&lt;=10,"Under 10 mins", calls[[#This Row],[Duration]]&lt;=30, "10 to 30 mins", calls[[#This Row],[Duration]]&lt;=60, "30 to 60 mins", calls[[#This Row],[Duration]]&lt;=120, "1 to 2 hours", TRUE, "More than 2 hours")</f>
        <v>1 to 2 hours</v>
      </c>
      <c r="K287">
        <f>ROUND(calls[[#This Row],[Satisfaction Rating]],0)</f>
        <v>3</v>
      </c>
    </row>
    <row r="288" spans="1:11" ht="13.8" x14ac:dyDescent="0.25">
      <c r="A288" t="s">
        <v>317</v>
      </c>
      <c r="B288" t="s">
        <v>51</v>
      </c>
      <c r="C288">
        <v>39</v>
      </c>
      <c r="D288" s="4" t="s">
        <v>23</v>
      </c>
      <c r="E288" s="5">
        <v>45013</v>
      </c>
      <c r="F288">
        <v>81</v>
      </c>
      <c r="G288">
        <v>5</v>
      </c>
      <c r="H288">
        <f>IF(MONTH(calls[[#This Row],[Date of Call]])&lt;=6, YEAR(calls[[#This Row],[Date of Call]]), YEAR(calls[[#This Row],[Date of Call]])+1)</f>
        <v>2023</v>
      </c>
      <c r="I288" t="str">
        <f>TEXT(calls[[#This Row],[Date of Call]],"DDDD")</f>
        <v>Tuesday</v>
      </c>
      <c r="J288" t="str">
        <f t="array" ref="J288">_xlfn.IFS(calls[[#This Row],[Duration]]&lt;=10,"Under 10 mins", calls[[#This Row],[Duration]]&lt;=30, "10 to 30 mins", calls[[#This Row],[Duration]]&lt;=60, "30 to 60 mins", calls[[#This Row],[Duration]]&lt;=120, "1 to 2 hours", TRUE, "More than 2 hours")</f>
        <v>30 to 60 mins</v>
      </c>
      <c r="K288">
        <f>ROUND(calls[[#This Row],[Satisfaction Rating]],0)</f>
        <v>5</v>
      </c>
    </row>
    <row r="289" spans="1:11" ht="13.8" x14ac:dyDescent="0.25">
      <c r="A289" t="s">
        <v>318</v>
      </c>
      <c r="B289" t="s">
        <v>15</v>
      </c>
      <c r="C289">
        <v>127</v>
      </c>
      <c r="D289" s="4" t="s">
        <v>18</v>
      </c>
      <c r="E289" s="5">
        <v>45013</v>
      </c>
      <c r="F289">
        <v>99</v>
      </c>
      <c r="G289">
        <v>3.9</v>
      </c>
      <c r="H289">
        <f>IF(MONTH(calls[[#This Row],[Date of Call]])&lt;=6, YEAR(calls[[#This Row],[Date of Call]]), YEAR(calls[[#This Row],[Date of Call]])+1)</f>
        <v>2023</v>
      </c>
      <c r="I289" t="str">
        <f>TEXT(calls[[#This Row],[Date of Call]],"DDDD")</f>
        <v>Tuesday</v>
      </c>
      <c r="J289" t="str">
        <f t="array" ref="J289">_xlfn.IFS(calls[[#This Row],[Duration]]&lt;=10,"Under 10 mins", calls[[#This Row],[Duration]]&lt;=30, "10 to 30 mins", calls[[#This Row],[Duration]]&lt;=60, "30 to 60 mins", calls[[#This Row],[Duration]]&lt;=120, "1 to 2 hours", TRUE, "More than 2 hours")</f>
        <v>More than 2 hours</v>
      </c>
      <c r="K289">
        <f>ROUND(calls[[#This Row],[Satisfaction Rating]],0)</f>
        <v>4</v>
      </c>
    </row>
    <row r="290" spans="1:11" ht="13.8" x14ac:dyDescent="0.25">
      <c r="A290" t="s">
        <v>319</v>
      </c>
      <c r="B290" t="s">
        <v>26</v>
      </c>
      <c r="C290">
        <v>78</v>
      </c>
      <c r="D290" s="4" t="s">
        <v>18</v>
      </c>
      <c r="E290" s="5">
        <v>45013</v>
      </c>
      <c r="F290">
        <v>43</v>
      </c>
      <c r="G290">
        <v>3.8</v>
      </c>
      <c r="H290">
        <f>IF(MONTH(calls[[#This Row],[Date of Call]])&lt;=6, YEAR(calls[[#This Row],[Date of Call]]), YEAR(calls[[#This Row],[Date of Call]])+1)</f>
        <v>2023</v>
      </c>
      <c r="I290" t="str">
        <f>TEXT(calls[[#This Row],[Date of Call]],"DDDD")</f>
        <v>Tuesday</v>
      </c>
      <c r="J290" t="str">
        <f t="array" ref="J290">_xlfn.IFS(calls[[#This Row],[Duration]]&lt;=10,"Under 10 mins", calls[[#This Row],[Duration]]&lt;=30, "10 to 30 mins", calls[[#This Row],[Duration]]&lt;=60, "30 to 60 mins", calls[[#This Row],[Duration]]&lt;=120, "1 to 2 hours", TRUE, "More than 2 hours")</f>
        <v>1 to 2 hours</v>
      </c>
      <c r="K290">
        <f>ROUND(calls[[#This Row],[Satisfaction Rating]],0)</f>
        <v>4</v>
      </c>
    </row>
    <row r="291" spans="1:11" ht="13.8" x14ac:dyDescent="0.25">
      <c r="A291" t="s">
        <v>320</v>
      </c>
      <c r="B291" t="s">
        <v>35</v>
      </c>
      <c r="C291">
        <v>40</v>
      </c>
      <c r="D291" s="4" t="s">
        <v>18</v>
      </c>
      <c r="E291" s="5">
        <v>45013</v>
      </c>
      <c r="F291">
        <v>34</v>
      </c>
      <c r="G291">
        <v>4.5999999999999996</v>
      </c>
      <c r="H291">
        <f>IF(MONTH(calls[[#This Row],[Date of Call]])&lt;=6, YEAR(calls[[#This Row],[Date of Call]]), YEAR(calls[[#This Row],[Date of Call]])+1)</f>
        <v>2023</v>
      </c>
      <c r="I291" t="str">
        <f>TEXT(calls[[#This Row],[Date of Call]],"DDDD")</f>
        <v>Tuesday</v>
      </c>
      <c r="J291" t="str">
        <f t="array" ref="J291">_xlfn.IFS(calls[[#This Row],[Duration]]&lt;=10,"Under 10 mins", calls[[#This Row],[Duration]]&lt;=30, "10 to 30 mins", calls[[#This Row],[Duration]]&lt;=60, "30 to 60 mins", calls[[#This Row],[Duration]]&lt;=120, "1 to 2 hours", TRUE, "More than 2 hours")</f>
        <v>30 to 60 mins</v>
      </c>
      <c r="K291">
        <f>ROUND(calls[[#This Row],[Satisfaction Rating]],0)</f>
        <v>5</v>
      </c>
    </row>
    <row r="292" spans="1:11" ht="13.8" x14ac:dyDescent="0.25">
      <c r="A292" t="s">
        <v>321</v>
      </c>
      <c r="B292" t="s">
        <v>26</v>
      </c>
      <c r="C292">
        <v>56</v>
      </c>
      <c r="D292" s="4" t="s">
        <v>23</v>
      </c>
      <c r="E292" s="5">
        <v>45013</v>
      </c>
      <c r="F292">
        <v>225</v>
      </c>
      <c r="G292">
        <v>4.5999999999999996</v>
      </c>
      <c r="H292">
        <f>IF(MONTH(calls[[#This Row],[Date of Call]])&lt;=6, YEAR(calls[[#This Row],[Date of Call]]), YEAR(calls[[#This Row],[Date of Call]])+1)</f>
        <v>2023</v>
      </c>
      <c r="I292" t="str">
        <f>TEXT(calls[[#This Row],[Date of Call]],"DDDD")</f>
        <v>Tuesday</v>
      </c>
      <c r="J292" t="str">
        <f t="array" ref="J292">_xlfn.IFS(calls[[#This Row],[Duration]]&lt;=10,"Under 10 mins", calls[[#This Row],[Duration]]&lt;=30, "10 to 30 mins", calls[[#This Row],[Duration]]&lt;=60, "30 to 60 mins", calls[[#This Row],[Duration]]&lt;=120, "1 to 2 hours", TRUE, "More than 2 hours")</f>
        <v>30 to 60 mins</v>
      </c>
      <c r="K292">
        <f>ROUND(calls[[#This Row],[Satisfaction Rating]],0)</f>
        <v>5</v>
      </c>
    </row>
    <row r="293" spans="1:11" ht="13.8" x14ac:dyDescent="0.25">
      <c r="A293" t="s">
        <v>322</v>
      </c>
      <c r="B293" t="s">
        <v>51</v>
      </c>
      <c r="C293">
        <v>59</v>
      </c>
      <c r="D293" s="4" t="s">
        <v>32</v>
      </c>
      <c r="E293" s="5">
        <v>45013</v>
      </c>
      <c r="F293">
        <v>210</v>
      </c>
      <c r="G293">
        <v>4.5</v>
      </c>
      <c r="H293">
        <f>IF(MONTH(calls[[#This Row],[Date of Call]])&lt;=6, YEAR(calls[[#This Row],[Date of Call]]), YEAR(calls[[#This Row],[Date of Call]])+1)</f>
        <v>2023</v>
      </c>
      <c r="I293" t="str">
        <f>TEXT(calls[[#This Row],[Date of Call]],"DDDD")</f>
        <v>Tuesday</v>
      </c>
      <c r="J293" t="str">
        <f t="array" ref="J293">_xlfn.IFS(calls[[#This Row],[Duration]]&lt;=10,"Under 10 mins", calls[[#This Row],[Duration]]&lt;=30, "10 to 30 mins", calls[[#This Row],[Duration]]&lt;=60, "30 to 60 mins", calls[[#This Row],[Duration]]&lt;=120, "1 to 2 hours", TRUE, "More than 2 hours")</f>
        <v>30 to 60 mins</v>
      </c>
      <c r="K293">
        <f>ROUND(calls[[#This Row],[Satisfaction Rating]],0)</f>
        <v>5</v>
      </c>
    </row>
    <row r="294" spans="1:11" ht="13.8" x14ac:dyDescent="0.25">
      <c r="A294" t="s">
        <v>323</v>
      </c>
      <c r="B294" t="s">
        <v>54</v>
      </c>
      <c r="C294">
        <v>30</v>
      </c>
      <c r="D294" s="4" t="s">
        <v>18</v>
      </c>
      <c r="E294" s="5">
        <v>45013</v>
      </c>
      <c r="F294">
        <v>168</v>
      </c>
      <c r="G294">
        <v>4.2</v>
      </c>
      <c r="H294">
        <f>IF(MONTH(calls[[#This Row],[Date of Call]])&lt;=6, YEAR(calls[[#This Row],[Date of Call]]), YEAR(calls[[#This Row],[Date of Call]])+1)</f>
        <v>2023</v>
      </c>
      <c r="I294" t="str">
        <f>TEXT(calls[[#This Row],[Date of Call]],"DDDD")</f>
        <v>Tuesday</v>
      </c>
      <c r="J294" t="str">
        <f t="array" ref="J294">_xlfn.IFS(calls[[#This Row],[Duration]]&lt;=10,"Under 10 mins", calls[[#This Row],[Duration]]&lt;=30, "10 to 30 mins", calls[[#This Row],[Duration]]&lt;=60, "30 to 60 mins", calls[[#This Row],[Duration]]&lt;=120, "1 to 2 hours", TRUE, "More than 2 hours")</f>
        <v>10 to 30 mins</v>
      </c>
      <c r="K294">
        <f>ROUND(calls[[#This Row],[Satisfaction Rating]],0)</f>
        <v>4</v>
      </c>
    </row>
    <row r="295" spans="1:11" ht="13.8" x14ac:dyDescent="0.25">
      <c r="A295" t="s">
        <v>324</v>
      </c>
      <c r="B295" t="s">
        <v>35</v>
      </c>
      <c r="C295">
        <v>63</v>
      </c>
      <c r="D295" s="4" t="s">
        <v>13</v>
      </c>
      <c r="E295" s="5">
        <v>45014</v>
      </c>
      <c r="F295">
        <v>82</v>
      </c>
      <c r="G295">
        <v>4.5</v>
      </c>
      <c r="H295">
        <f>IF(MONTH(calls[[#This Row],[Date of Call]])&lt;=6, YEAR(calls[[#This Row],[Date of Call]]), YEAR(calls[[#This Row],[Date of Call]])+1)</f>
        <v>2023</v>
      </c>
      <c r="I295" t="str">
        <f>TEXT(calls[[#This Row],[Date of Call]],"DDDD")</f>
        <v>Wednesday</v>
      </c>
      <c r="J295" t="str">
        <f t="array" ref="J295">_xlfn.IFS(calls[[#This Row],[Duration]]&lt;=10,"Under 10 mins", calls[[#This Row],[Duration]]&lt;=30, "10 to 30 mins", calls[[#This Row],[Duration]]&lt;=60, "30 to 60 mins", calls[[#This Row],[Duration]]&lt;=120, "1 to 2 hours", TRUE, "More than 2 hours")</f>
        <v>1 to 2 hours</v>
      </c>
      <c r="K295">
        <f>ROUND(calls[[#This Row],[Satisfaction Rating]],0)</f>
        <v>5</v>
      </c>
    </row>
    <row r="296" spans="1:11" ht="13.8" x14ac:dyDescent="0.25">
      <c r="A296" t="s">
        <v>325</v>
      </c>
      <c r="B296" t="s">
        <v>17</v>
      </c>
      <c r="C296">
        <v>56</v>
      </c>
      <c r="D296" s="4" t="s">
        <v>28</v>
      </c>
      <c r="E296" s="5">
        <v>45014</v>
      </c>
      <c r="F296">
        <v>88</v>
      </c>
      <c r="G296">
        <v>4.0999999999999996</v>
      </c>
      <c r="H296">
        <f>IF(MONTH(calls[[#This Row],[Date of Call]])&lt;=6, YEAR(calls[[#This Row],[Date of Call]]), YEAR(calls[[#This Row],[Date of Call]])+1)</f>
        <v>2023</v>
      </c>
      <c r="I296" t="str">
        <f>TEXT(calls[[#This Row],[Date of Call]],"DDDD")</f>
        <v>Wednesday</v>
      </c>
      <c r="J296" t="str">
        <f t="array" ref="J296">_xlfn.IFS(calls[[#This Row],[Duration]]&lt;=10,"Under 10 mins", calls[[#This Row],[Duration]]&lt;=30, "10 to 30 mins", calls[[#This Row],[Duration]]&lt;=60, "30 to 60 mins", calls[[#This Row],[Duration]]&lt;=120, "1 to 2 hours", TRUE, "More than 2 hours")</f>
        <v>30 to 60 mins</v>
      </c>
      <c r="K296">
        <f>ROUND(calls[[#This Row],[Satisfaction Rating]],0)</f>
        <v>4</v>
      </c>
    </row>
    <row r="297" spans="1:11" ht="13.8" x14ac:dyDescent="0.25">
      <c r="A297" t="s">
        <v>326</v>
      </c>
      <c r="B297" t="s">
        <v>84</v>
      </c>
      <c r="C297">
        <v>95</v>
      </c>
      <c r="D297" s="4" t="s">
        <v>13</v>
      </c>
      <c r="E297" s="5">
        <v>45014</v>
      </c>
      <c r="F297">
        <v>111</v>
      </c>
      <c r="G297">
        <v>3.3</v>
      </c>
      <c r="H297">
        <f>IF(MONTH(calls[[#This Row],[Date of Call]])&lt;=6, YEAR(calls[[#This Row],[Date of Call]]), YEAR(calls[[#This Row],[Date of Call]])+1)</f>
        <v>2023</v>
      </c>
      <c r="I297" t="str">
        <f>TEXT(calls[[#This Row],[Date of Call]],"DDDD")</f>
        <v>Wednesday</v>
      </c>
      <c r="J297" t="str">
        <f t="array" ref="J297">_xlfn.IFS(calls[[#This Row],[Duration]]&lt;=10,"Under 10 mins", calls[[#This Row],[Duration]]&lt;=30, "10 to 30 mins", calls[[#This Row],[Duration]]&lt;=60, "30 to 60 mins", calls[[#This Row],[Duration]]&lt;=120, "1 to 2 hours", TRUE, "More than 2 hours")</f>
        <v>1 to 2 hours</v>
      </c>
      <c r="K297">
        <f>ROUND(calls[[#This Row],[Satisfaction Rating]],0)</f>
        <v>3</v>
      </c>
    </row>
    <row r="298" spans="1:11" ht="13.8" x14ac:dyDescent="0.25">
      <c r="A298" t="s">
        <v>327</v>
      </c>
      <c r="B298" t="s">
        <v>64</v>
      </c>
      <c r="C298">
        <v>128</v>
      </c>
      <c r="D298" s="4" t="s">
        <v>32</v>
      </c>
      <c r="E298" s="5">
        <v>45014</v>
      </c>
      <c r="F298">
        <v>60</v>
      </c>
      <c r="G298">
        <v>3.8</v>
      </c>
      <c r="H298">
        <f>IF(MONTH(calls[[#This Row],[Date of Call]])&lt;=6, YEAR(calls[[#This Row],[Date of Call]]), YEAR(calls[[#This Row],[Date of Call]])+1)</f>
        <v>2023</v>
      </c>
      <c r="I298" t="str">
        <f>TEXT(calls[[#This Row],[Date of Call]],"DDDD")</f>
        <v>Wednesday</v>
      </c>
      <c r="J298" t="str">
        <f t="array" ref="J298">_xlfn.IFS(calls[[#This Row],[Duration]]&lt;=10,"Under 10 mins", calls[[#This Row],[Duration]]&lt;=30, "10 to 30 mins", calls[[#This Row],[Duration]]&lt;=60, "30 to 60 mins", calls[[#This Row],[Duration]]&lt;=120, "1 to 2 hours", TRUE, "More than 2 hours")</f>
        <v>More than 2 hours</v>
      </c>
      <c r="K298">
        <f>ROUND(calls[[#This Row],[Satisfaction Rating]],0)</f>
        <v>4</v>
      </c>
    </row>
    <row r="299" spans="1:11" ht="13.8" x14ac:dyDescent="0.25">
      <c r="A299" t="s">
        <v>328</v>
      </c>
      <c r="B299" t="s">
        <v>22</v>
      </c>
      <c r="C299">
        <v>49</v>
      </c>
      <c r="D299" s="4" t="s">
        <v>13</v>
      </c>
      <c r="E299" s="5">
        <v>45014</v>
      </c>
      <c r="F299">
        <v>80</v>
      </c>
      <c r="G299">
        <v>3</v>
      </c>
      <c r="H299">
        <f>IF(MONTH(calls[[#This Row],[Date of Call]])&lt;=6, YEAR(calls[[#This Row],[Date of Call]]), YEAR(calls[[#This Row],[Date of Call]])+1)</f>
        <v>2023</v>
      </c>
      <c r="I299" t="str">
        <f>TEXT(calls[[#This Row],[Date of Call]],"DDDD")</f>
        <v>Wednesday</v>
      </c>
      <c r="J299" t="str">
        <f t="array" ref="J299">_xlfn.IFS(calls[[#This Row],[Duration]]&lt;=10,"Under 10 mins", calls[[#This Row],[Duration]]&lt;=30, "10 to 30 mins", calls[[#This Row],[Duration]]&lt;=60, "30 to 60 mins", calls[[#This Row],[Duration]]&lt;=120, "1 to 2 hours", TRUE, "More than 2 hours")</f>
        <v>30 to 60 mins</v>
      </c>
      <c r="K299">
        <f>ROUND(calls[[#This Row],[Satisfaction Rating]],0)</f>
        <v>3</v>
      </c>
    </row>
    <row r="300" spans="1:11" ht="13.8" x14ac:dyDescent="0.25">
      <c r="A300" t="s">
        <v>329</v>
      </c>
      <c r="B300" t="s">
        <v>64</v>
      </c>
      <c r="C300">
        <v>89</v>
      </c>
      <c r="D300" s="4" t="s">
        <v>23</v>
      </c>
      <c r="E300" s="5">
        <v>45016</v>
      </c>
      <c r="F300">
        <v>90</v>
      </c>
      <c r="G300">
        <v>4.5999999999999996</v>
      </c>
      <c r="H300">
        <f>IF(MONTH(calls[[#This Row],[Date of Call]])&lt;=6, YEAR(calls[[#This Row],[Date of Call]]), YEAR(calls[[#This Row],[Date of Call]])+1)</f>
        <v>2023</v>
      </c>
      <c r="I300" t="str">
        <f>TEXT(calls[[#This Row],[Date of Call]],"DDDD")</f>
        <v>Friday</v>
      </c>
      <c r="J300" t="str">
        <f t="array" ref="J300">_xlfn.IFS(calls[[#This Row],[Duration]]&lt;=10,"Under 10 mins", calls[[#This Row],[Duration]]&lt;=30, "10 to 30 mins", calls[[#This Row],[Duration]]&lt;=60, "30 to 60 mins", calls[[#This Row],[Duration]]&lt;=120, "1 to 2 hours", TRUE, "More than 2 hours")</f>
        <v>1 to 2 hours</v>
      </c>
      <c r="K300">
        <f>ROUND(calls[[#This Row],[Satisfaction Rating]],0)</f>
        <v>5</v>
      </c>
    </row>
    <row r="301" spans="1:11" ht="13.8" x14ac:dyDescent="0.25">
      <c r="A301" t="s">
        <v>330</v>
      </c>
      <c r="B301" t="s">
        <v>43</v>
      </c>
      <c r="C301">
        <v>87</v>
      </c>
      <c r="D301" s="4" t="s">
        <v>13</v>
      </c>
      <c r="E301" s="5">
        <v>45016</v>
      </c>
      <c r="F301">
        <v>225</v>
      </c>
      <c r="G301">
        <v>2.9</v>
      </c>
      <c r="H301">
        <f>IF(MONTH(calls[[#This Row],[Date of Call]])&lt;=6, YEAR(calls[[#This Row],[Date of Call]]), YEAR(calls[[#This Row],[Date of Call]])+1)</f>
        <v>2023</v>
      </c>
      <c r="I301" t="str">
        <f>TEXT(calls[[#This Row],[Date of Call]],"DDDD")</f>
        <v>Friday</v>
      </c>
      <c r="J301" t="str">
        <f t="array" ref="J301">_xlfn.IFS(calls[[#This Row],[Duration]]&lt;=10,"Under 10 mins", calls[[#This Row],[Duration]]&lt;=30, "10 to 30 mins", calls[[#This Row],[Duration]]&lt;=60, "30 to 60 mins", calls[[#This Row],[Duration]]&lt;=120, "1 to 2 hours", TRUE, "More than 2 hours")</f>
        <v>1 to 2 hours</v>
      </c>
      <c r="K301">
        <f>ROUND(calls[[#This Row],[Satisfaction Rating]],0)</f>
        <v>3</v>
      </c>
    </row>
    <row r="302" spans="1:11" ht="13.8" x14ac:dyDescent="0.25">
      <c r="A302" t="s">
        <v>331</v>
      </c>
      <c r="B302" t="s">
        <v>12</v>
      </c>
      <c r="C302">
        <v>60</v>
      </c>
      <c r="D302" s="4" t="s">
        <v>18</v>
      </c>
      <c r="E302" s="5">
        <v>45017</v>
      </c>
      <c r="F302">
        <v>215</v>
      </c>
      <c r="G302">
        <v>3.2</v>
      </c>
      <c r="H302">
        <f>IF(MONTH(calls[[#This Row],[Date of Call]])&lt;=6, YEAR(calls[[#This Row],[Date of Call]]), YEAR(calls[[#This Row],[Date of Call]])+1)</f>
        <v>2023</v>
      </c>
      <c r="I302" t="str">
        <f>TEXT(calls[[#This Row],[Date of Call]],"DDDD")</f>
        <v>Saturday</v>
      </c>
      <c r="J302" t="str">
        <f t="array" ref="J302">_xlfn.IFS(calls[[#This Row],[Duration]]&lt;=10,"Under 10 mins", calls[[#This Row],[Duration]]&lt;=30, "10 to 30 mins", calls[[#This Row],[Duration]]&lt;=60, "30 to 60 mins", calls[[#This Row],[Duration]]&lt;=120, "1 to 2 hours", TRUE, "More than 2 hours")</f>
        <v>30 to 60 mins</v>
      </c>
      <c r="K302">
        <f>ROUND(calls[[#This Row],[Satisfaction Rating]],0)</f>
        <v>3</v>
      </c>
    </row>
    <row r="303" spans="1:11" ht="13.8" x14ac:dyDescent="0.25">
      <c r="A303" t="s">
        <v>332</v>
      </c>
      <c r="B303" t="s">
        <v>20</v>
      </c>
      <c r="C303">
        <v>42</v>
      </c>
      <c r="D303" s="4" t="s">
        <v>23</v>
      </c>
      <c r="E303" s="5">
        <v>45017</v>
      </c>
      <c r="F303">
        <v>45</v>
      </c>
      <c r="G303">
        <v>1.5</v>
      </c>
      <c r="H303">
        <f>IF(MONTH(calls[[#This Row],[Date of Call]])&lt;=6, YEAR(calls[[#This Row],[Date of Call]]), YEAR(calls[[#This Row],[Date of Call]])+1)</f>
        <v>2023</v>
      </c>
      <c r="I303" t="str">
        <f>TEXT(calls[[#This Row],[Date of Call]],"DDDD")</f>
        <v>Saturday</v>
      </c>
      <c r="J303" t="str">
        <f t="array" ref="J303">_xlfn.IFS(calls[[#This Row],[Duration]]&lt;=10,"Under 10 mins", calls[[#This Row],[Duration]]&lt;=30, "10 to 30 mins", calls[[#This Row],[Duration]]&lt;=60, "30 to 60 mins", calls[[#This Row],[Duration]]&lt;=120, "1 to 2 hours", TRUE, "More than 2 hours")</f>
        <v>30 to 60 mins</v>
      </c>
      <c r="K303">
        <f>ROUND(calls[[#This Row],[Satisfaction Rating]],0)</f>
        <v>2</v>
      </c>
    </row>
    <row r="304" spans="1:11" ht="13.8" x14ac:dyDescent="0.25">
      <c r="A304" t="s">
        <v>333</v>
      </c>
      <c r="B304" t="s">
        <v>31</v>
      </c>
      <c r="C304">
        <v>99</v>
      </c>
      <c r="D304" s="4" t="s">
        <v>18</v>
      </c>
      <c r="E304" s="5">
        <v>45017</v>
      </c>
      <c r="F304">
        <v>74</v>
      </c>
      <c r="G304">
        <v>4</v>
      </c>
      <c r="H304">
        <f>IF(MONTH(calls[[#This Row],[Date of Call]])&lt;=6, YEAR(calls[[#This Row],[Date of Call]]), YEAR(calls[[#This Row],[Date of Call]])+1)</f>
        <v>2023</v>
      </c>
      <c r="I304" t="str">
        <f>TEXT(calls[[#This Row],[Date of Call]],"DDDD")</f>
        <v>Saturday</v>
      </c>
      <c r="J304" t="str">
        <f t="array" ref="J304">_xlfn.IFS(calls[[#This Row],[Duration]]&lt;=10,"Under 10 mins", calls[[#This Row],[Duration]]&lt;=30, "10 to 30 mins", calls[[#This Row],[Duration]]&lt;=60, "30 to 60 mins", calls[[#This Row],[Duration]]&lt;=120, "1 to 2 hours", TRUE, "More than 2 hours")</f>
        <v>1 to 2 hours</v>
      </c>
      <c r="K304">
        <f>ROUND(calls[[#This Row],[Satisfaction Rating]],0)</f>
        <v>4</v>
      </c>
    </row>
    <row r="305" spans="1:11" ht="13.8" x14ac:dyDescent="0.25">
      <c r="A305" t="s">
        <v>334</v>
      </c>
      <c r="B305" t="s">
        <v>17</v>
      </c>
      <c r="C305">
        <v>20</v>
      </c>
      <c r="D305" s="4" t="s">
        <v>23</v>
      </c>
      <c r="E305" s="5">
        <v>45017</v>
      </c>
      <c r="F305">
        <v>60</v>
      </c>
      <c r="G305">
        <v>3.6</v>
      </c>
      <c r="H305">
        <f>IF(MONTH(calls[[#This Row],[Date of Call]])&lt;=6, YEAR(calls[[#This Row],[Date of Call]]), YEAR(calls[[#This Row],[Date of Call]])+1)</f>
        <v>2023</v>
      </c>
      <c r="I305" t="str">
        <f>TEXT(calls[[#This Row],[Date of Call]],"DDDD")</f>
        <v>Saturday</v>
      </c>
      <c r="J305" t="str">
        <f t="array" ref="J305">_xlfn.IFS(calls[[#This Row],[Duration]]&lt;=10,"Under 10 mins", calls[[#This Row],[Duration]]&lt;=30, "10 to 30 mins", calls[[#This Row],[Duration]]&lt;=60, "30 to 60 mins", calls[[#This Row],[Duration]]&lt;=120, "1 to 2 hours", TRUE, "More than 2 hours")</f>
        <v>10 to 30 mins</v>
      </c>
      <c r="K305">
        <f>ROUND(calls[[#This Row],[Satisfaction Rating]],0)</f>
        <v>4</v>
      </c>
    </row>
    <row r="306" spans="1:11" ht="13.8" x14ac:dyDescent="0.25">
      <c r="A306" t="s">
        <v>335</v>
      </c>
      <c r="B306" t="s">
        <v>35</v>
      </c>
      <c r="C306">
        <v>65</v>
      </c>
      <c r="D306" s="4" t="s">
        <v>18</v>
      </c>
      <c r="E306" s="5">
        <v>45017</v>
      </c>
      <c r="F306">
        <v>64</v>
      </c>
      <c r="G306">
        <v>3.7</v>
      </c>
      <c r="H306">
        <f>IF(MONTH(calls[[#This Row],[Date of Call]])&lt;=6, YEAR(calls[[#This Row],[Date of Call]]), YEAR(calls[[#This Row],[Date of Call]])+1)</f>
        <v>2023</v>
      </c>
      <c r="I306" t="str">
        <f>TEXT(calls[[#This Row],[Date of Call]],"DDDD")</f>
        <v>Saturday</v>
      </c>
      <c r="J306" t="str">
        <f t="array" ref="J306">_xlfn.IFS(calls[[#This Row],[Duration]]&lt;=10,"Under 10 mins", calls[[#This Row],[Duration]]&lt;=30, "10 to 30 mins", calls[[#This Row],[Duration]]&lt;=60, "30 to 60 mins", calls[[#This Row],[Duration]]&lt;=120, "1 to 2 hours", TRUE, "More than 2 hours")</f>
        <v>1 to 2 hours</v>
      </c>
      <c r="K306">
        <f>ROUND(calls[[#This Row],[Satisfaction Rating]],0)</f>
        <v>4</v>
      </c>
    </row>
    <row r="307" spans="1:11" ht="13.8" x14ac:dyDescent="0.25">
      <c r="A307" t="s">
        <v>336</v>
      </c>
      <c r="B307" t="s">
        <v>54</v>
      </c>
      <c r="C307">
        <v>71</v>
      </c>
      <c r="D307" s="4" t="s">
        <v>13</v>
      </c>
      <c r="E307" s="5">
        <v>45018</v>
      </c>
      <c r="F307">
        <v>110</v>
      </c>
      <c r="G307">
        <v>4.8</v>
      </c>
      <c r="H307">
        <f>IF(MONTH(calls[[#This Row],[Date of Call]])&lt;=6, YEAR(calls[[#This Row],[Date of Call]]), YEAR(calls[[#This Row],[Date of Call]])+1)</f>
        <v>2023</v>
      </c>
      <c r="I307" t="str">
        <f>TEXT(calls[[#This Row],[Date of Call]],"DDDD")</f>
        <v>Sunday</v>
      </c>
      <c r="J307" t="str">
        <f t="array" ref="J307">_xlfn.IFS(calls[[#This Row],[Duration]]&lt;=10,"Under 10 mins", calls[[#This Row],[Duration]]&lt;=30, "10 to 30 mins", calls[[#This Row],[Duration]]&lt;=60, "30 to 60 mins", calls[[#This Row],[Duration]]&lt;=120, "1 to 2 hours", TRUE, "More than 2 hours")</f>
        <v>1 to 2 hours</v>
      </c>
      <c r="K307">
        <f>ROUND(calls[[#This Row],[Satisfaction Rating]],0)</f>
        <v>5</v>
      </c>
    </row>
    <row r="308" spans="1:11" ht="13.8" x14ac:dyDescent="0.25">
      <c r="A308" t="s">
        <v>337</v>
      </c>
      <c r="B308" t="s">
        <v>15</v>
      </c>
      <c r="C308">
        <v>95</v>
      </c>
      <c r="D308" s="4" t="s">
        <v>32</v>
      </c>
      <c r="E308" s="5">
        <v>45018</v>
      </c>
      <c r="F308">
        <v>52</v>
      </c>
      <c r="G308">
        <v>1.2</v>
      </c>
      <c r="H308">
        <f>IF(MONTH(calls[[#This Row],[Date of Call]])&lt;=6, YEAR(calls[[#This Row],[Date of Call]]), YEAR(calls[[#This Row],[Date of Call]])+1)</f>
        <v>2023</v>
      </c>
      <c r="I308" t="str">
        <f>TEXT(calls[[#This Row],[Date of Call]],"DDDD")</f>
        <v>Sunday</v>
      </c>
      <c r="J308" t="str">
        <f t="array" ref="J308">_xlfn.IFS(calls[[#This Row],[Duration]]&lt;=10,"Under 10 mins", calls[[#This Row],[Duration]]&lt;=30, "10 to 30 mins", calls[[#This Row],[Duration]]&lt;=60, "30 to 60 mins", calls[[#This Row],[Duration]]&lt;=120, "1 to 2 hours", TRUE, "More than 2 hours")</f>
        <v>1 to 2 hours</v>
      </c>
      <c r="K308">
        <f>ROUND(calls[[#This Row],[Satisfaction Rating]],0)</f>
        <v>1</v>
      </c>
    </row>
    <row r="309" spans="1:11" ht="13.8" x14ac:dyDescent="0.25">
      <c r="A309" t="s">
        <v>338</v>
      </c>
      <c r="B309" t="s">
        <v>17</v>
      </c>
      <c r="C309">
        <v>81</v>
      </c>
      <c r="D309" s="4" t="s">
        <v>28</v>
      </c>
      <c r="E309" s="5">
        <v>45019</v>
      </c>
      <c r="F309">
        <v>160</v>
      </c>
      <c r="G309">
        <v>4.7</v>
      </c>
      <c r="H309">
        <f>IF(MONTH(calls[[#This Row],[Date of Call]])&lt;=6, YEAR(calls[[#This Row],[Date of Call]]), YEAR(calls[[#This Row],[Date of Call]])+1)</f>
        <v>2023</v>
      </c>
      <c r="I309" t="str">
        <f>TEXT(calls[[#This Row],[Date of Call]],"DDDD")</f>
        <v>Monday</v>
      </c>
      <c r="J309" t="str">
        <f t="array" ref="J309">_xlfn.IFS(calls[[#This Row],[Duration]]&lt;=10,"Under 10 mins", calls[[#This Row],[Duration]]&lt;=30, "10 to 30 mins", calls[[#This Row],[Duration]]&lt;=60, "30 to 60 mins", calls[[#This Row],[Duration]]&lt;=120, "1 to 2 hours", TRUE, "More than 2 hours")</f>
        <v>1 to 2 hours</v>
      </c>
      <c r="K309">
        <f>ROUND(calls[[#This Row],[Satisfaction Rating]],0)</f>
        <v>5</v>
      </c>
    </row>
    <row r="310" spans="1:11" ht="13.8" x14ac:dyDescent="0.25">
      <c r="A310" t="s">
        <v>339</v>
      </c>
      <c r="B310" t="s">
        <v>46</v>
      </c>
      <c r="C310">
        <v>137</v>
      </c>
      <c r="D310" s="4" t="s">
        <v>28</v>
      </c>
      <c r="E310" s="5">
        <v>45019</v>
      </c>
      <c r="F310">
        <v>215</v>
      </c>
      <c r="G310">
        <v>4.7</v>
      </c>
      <c r="H310">
        <f>IF(MONTH(calls[[#This Row],[Date of Call]])&lt;=6, YEAR(calls[[#This Row],[Date of Call]]), YEAR(calls[[#This Row],[Date of Call]])+1)</f>
        <v>2023</v>
      </c>
      <c r="I310" t="str">
        <f>TEXT(calls[[#This Row],[Date of Call]],"DDDD")</f>
        <v>Monday</v>
      </c>
      <c r="J310" t="str">
        <f t="array" ref="J310">_xlfn.IFS(calls[[#This Row],[Duration]]&lt;=10,"Under 10 mins", calls[[#This Row],[Duration]]&lt;=30, "10 to 30 mins", calls[[#This Row],[Duration]]&lt;=60, "30 to 60 mins", calls[[#This Row],[Duration]]&lt;=120, "1 to 2 hours", TRUE, "More than 2 hours")</f>
        <v>More than 2 hours</v>
      </c>
      <c r="K310">
        <f>ROUND(calls[[#This Row],[Satisfaction Rating]],0)</f>
        <v>5</v>
      </c>
    </row>
    <row r="311" spans="1:11" ht="13.8" x14ac:dyDescent="0.25">
      <c r="A311" t="s">
        <v>340</v>
      </c>
      <c r="B311" t="s">
        <v>46</v>
      </c>
      <c r="C311">
        <v>40</v>
      </c>
      <c r="D311" s="4" t="s">
        <v>32</v>
      </c>
      <c r="E311" s="5">
        <v>45019</v>
      </c>
      <c r="F311">
        <v>220</v>
      </c>
      <c r="G311">
        <v>4.5</v>
      </c>
      <c r="H311">
        <f>IF(MONTH(calls[[#This Row],[Date of Call]])&lt;=6, YEAR(calls[[#This Row],[Date of Call]]), YEAR(calls[[#This Row],[Date of Call]])+1)</f>
        <v>2023</v>
      </c>
      <c r="I311" t="str">
        <f>TEXT(calls[[#This Row],[Date of Call]],"DDDD")</f>
        <v>Monday</v>
      </c>
      <c r="J311" t="str">
        <f t="array" ref="J311">_xlfn.IFS(calls[[#This Row],[Duration]]&lt;=10,"Under 10 mins", calls[[#This Row],[Duration]]&lt;=30, "10 to 30 mins", calls[[#This Row],[Duration]]&lt;=60, "30 to 60 mins", calls[[#This Row],[Duration]]&lt;=120, "1 to 2 hours", TRUE, "More than 2 hours")</f>
        <v>30 to 60 mins</v>
      </c>
      <c r="K311">
        <f>ROUND(calls[[#This Row],[Satisfaction Rating]],0)</f>
        <v>5</v>
      </c>
    </row>
    <row r="312" spans="1:11" ht="13.8" x14ac:dyDescent="0.25">
      <c r="A312" t="s">
        <v>341</v>
      </c>
      <c r="B312" t="s">
        <v>31</v>
      </c>
      <c r="C312">
        <v>111</v>
      </c>
      <c r="D312" s="4" t="s">
        <v>18</v>
      </c>
      <c r="E312" s="5">
        <v>45020</v>
      </c>
      <c r="F312">
        <v>175</v>
      </c>
      <c r="G312">
        <v>3.5</v>
      </c>
      <c r="H312">
        <f>IF(MONTH(calls[[#This Row],[Date of Call]])&lt;=6, YEAR(calls[[#This Row],[Date of Call]]), YEAR(calls[[#This Row],[Date of Call]])+1)</f>
        <v>2023</v>
      </c>
      <c r="I312" t="str">
        <f>TEXT(calls[[#This Row],[Date of Call]],"DDDD")</f>
        <v>Tuesday</v>
      </c>
      <c r="J312" t="str">
        <f t="array" ref="J312">_xlfn.IFS(calls[[#This Row],[Duration]]&lt;=10,"Under 10 mins", calls[[#This Row],[Duration]]&lt;=30, "10 to 30 mins", calls[[#This Row],[Duration]]&lt;=60, "30 to 60 mins", calls[[#This Row],[Duration]]&lt;=120, "1 to 2 hours", TRUE, "More than 2 hours")</f>
        <v>1 to 2 hours</v>
      </c>
      <c r="K312">
        <f>ROUND(calls[[#This Row],[Satisfaction Rating]],0)</f>
        <v>4</v>
      </c>
    </row>
    <row r="313" spans="1:11" ht="13.8" x14ac:dyDescent="0.25">
      <c r="A313" t="s">
        <v>342</v>
      </c>
      <c r="B313" t="s">
        <v>54</v>
      </c>
      <c r="C313">
        <v>106</v>
      </c>
      <c r="D313" s="4" t="s">
        <v>18</v>
      </c>
      <c r="E313" s="5">
        <v>45020</v>
      </c>
      <c r="F313">
        <v>145</v>
      </c>
      <c r="G313">
        <v>4.0999999999999996</v>
      </c>
      <c r="H313">
        <f>IF(MONTH(calls[[#This Row],[Date of Call]])&lt;=6, YEAR(calls[[#This Row],[Date of Call]]), YEAR(calls[[#This Row],[Date of Call]])+1)</f>
        <v>2023</v>
      </c>
      <c r="I313" t="str">
        <f>TEXT(calls[[#This Row],[Date of Call]],"DDDD")</f>
        <v>Tuesday</v>
      </c>
      <c r="J313" t="str">
        <f t="array" ref="J313">_xlfn.IFS(calls[[#This Row],[Duration]]&lt;=10,"Under 10 mins", calls[[#This Row],[Duration]]&lt;=30, "10 to 30 mins", calls[[#This Row],[Duration]]&lt;=60, "30 to 60 mins", calls[[#This Row],[Duration]]&lt;=120, "1 to 2 hours", TRUE, "More than 2 hours")</f>
        <v>1 to 2 hours</v>
      </c>
      <c r="K313">
        <f>ROUND(calls[[#This Row],[Satisfaction Rating]],0)</f>
        <v>4</v>
      </c>
    </row>
    <row r="314" spans="1:11" ht="13.8" x14ac:dyDescent="0.25">
      <c r="A314" t="s">
        <v>343</v>
      </c>
      <c r="B314" t="s">
        <v>20</v>
      </c>
      <c r="C314">
        <v>133</v>
      </c>
      <c r="D314" s="4" t="s">
        <v>23</v>
      </c>
      <c r="E314" s="5">
        <v>45020</v>
      </c>
      <c r="F314">
        <v>72</v>
      </c>
      <c r="G314">
        <v>4.4000000000000004</v>
      </c>
      <c r="H314">
        <f>IF(MONTH(calls[[#This Row],[Date of Call]])&lt;=6, YEAR(calls[[#This Row],[Date of Call]]), YEAR(calls[[#This Row],[Date of Call]])+1)</f>
        <v>2023</v>
      </c>
      <c r="I314" t="str">
        <f>TEXT(calls[[#This Row],[Date of Call]],"DDDD")</f>
        <v>Tuesday</v>
      </c>
      <c r="J314" t="str">
        <f t="array" ref="J314">_xlfn.IFS(calls[[#This Row],[Duration]]&lt;=10,"Under 10 mins", calls[[#This Row],[Duration]]&lt;=30, "10 to 30 mins", calls[[#This Row],[Duration]]&lt;=60, "30 to 60 mins", calls[[#This Row],[Duration]]&lt;=120, "1 to 2 hours", TRUE, "More than 2 hours")</f>
        <v>More than 2 hours</v>
      </c>
      <c r="K314">
        <f>ROUND(calls[[#This Row],[Satisfaction Rating]],0)</f>
        <v>4</v>
      </c>
    </row>
    <row r="315" spans="1:11" ht="13.8" x14ac:dyDescent="0.25">
      <c r="A315" t="s">
        <v>344</v>
      </c>
      <c r="B315" t="s">
        <v>26</v>
      </c>
      <c r="C315">
        <v>38</v>
      </c>
      <c r="D315" s="4" t="s">
        <v>18</v>
      </c>
      <c r="E315" s="5">
        <v>45021</v>
      </c>
      <c r="F315">
        <v>81</v>
      </c>
      <c r="G315">
        <v>3.6</v>
      </c>
      <c r="H315">
        <f>IF(MONTH(calls[[#This Row],[Date of Call]])&lt;=6, YEAR(calls[[#This Row],[Date of Call]]), YEAR(calls[[#This Row],[Date of Call]])+1)</f>
        <v>2023</v>
      </c>
      <c r="I315" t="str">
        <f>TEXT(calls[[#This Row],[Date of Call]],"DDDD")</f>
        <v>Wednesday</v>
      </c>
      <c r="J315" t="str">
        <f t="array" ref="J315">_xlfn.IFS(calls[[#This Row],[Duration]]&lt;=10,"Under 10 mins", calls[[#This Row],[Duration]]&lt;=30, "10 to 30 mins", calls[[#This Row],[Duration]]&lt;=60, "30 to 60 mins", calls[[#This Row],[Duration]]&lt;=120, "1 to 2 hours", TRUE, "More than 2 hours")</f>
        <v>30 to 60 mins</v>
      </c>
      <c r="K315">
        <f>ROUND(calls[[#This Row],[Satisfaction Rating]],0)</f>
        <v>4</v>
      </c>
    </row>
    <row r="316" spans="1:11" ht="13.8" x14ac:dyDescent="0.25">
      <c r="A316" t="s">
        <v>345</v>
      </c>
      <c r="B316" t="s">
        <v>51</v>
      </c>
      <c r="C316">
        <v>130</v>
      </c>
      <c r="D316" s="4" t="s">
        <v>32</v>
      </c>
      <c r="E316" s="5">
        <v>45021</v>
      </c>
      <c r="F316">
        <v>54</v>
      </c>
      <c r="G316">
        <v>4.0999999999999996</v>
      </c>
      <c r="H316">
        <f>IF(MONTH(calls[[#This Row],[Date of Call]])&lt;=6, YEAR(calls[[#This Row],[Date of Call]]), YEAR(calls[[#This Row],[Date of Call]])+1)</f>
        <v>2023</v>
      </c>
      <c r="I316" t="str">
        <f>TEXT(calls[[#This Row],[Date of Call]],"DDDD")</f>
        <v>Wednesday</v>
      </c>
      <c r="J316" t="str">
        <f t="array" ref="J316">_xlfn.IFS(calls[[#This Row],[Duration]]&lt;=10,"Under 10 mins", calls[[#This Row],[Duration]]&lt;=30, "10 to 30 mins", calls[[#This Row],[Duration]]&lt;=60, "30 to 60 mins", calls[[#This Row],[Duration]]&lt;=120, "1 to 2 hours", TRUE, "More than 2 hours")</f>
        <v>More than 2 hours</v>
      </c>
      <c r="K316">
        <f>ROUND(calls[[#This Row],[Satisfaction Rating]],0)</f>
        <v>4</v>
      </c>
    </row>
    <row r="317" spans="1:11" ht="13.8" x14ac:dyDescent="0.25">
      <c r="A317" t="s">
        <v>346</v>
      </c>
      <c r="B317" t="s">
        <v>35</v>
      </c>
      <c r="C317">
        <v>23</v>
      </c>
      <c r="D317" s="4" t="s">
        <v>23</v>
      </c>
      <c r="E317" s="5">
        <v>45021</v>
      </c>
      <c r="F317">
        <v>105</v>
      </c>
      <c r="G317">
        <v>4.8</v>
      </c>
      <c r="H317">
        <f>IF(MONTH(calls[[#This Row],[Date of Call]])&lt;=6, YEAR(calls[[#This Row],[Date of Call]]), YEAR(calls[[#This Row],[Date of Call]])+1)</f>
        <v>2023</v>
      </c>
      <c r="I317" t="str">
        <f>TEXT(calls[[#This Row],[Date of Call]],"DDDD")</f>
        <v>Wednesday</v>
      </c>
      <c r="J317" t="str">
        <f t="array" ref="J317">_xlfn.IFS(calls[[#This Row],[Duration]]&lt;=10,"Under 10 mins", calls[[#This Row],[Duration]]&lt;=30, "10 to 30 mins", calls[[#This Row],[Duration]]&lt;=60, "30 to 60 mins", calls[[#This Row],[Duration]]&lt;=120, "1 to 2 hours", TRUE, "More than 2 hours")</f>
        <v>10 to 30 mins</v>
      </c>
      <c r="K317">
        <f>ROUND(calls[[#This Row],[Satisfaction Rating]],0)</f>
        <v>5</v>
      </c>
    </row>
    <row r="318" spans="1:11" ht="13.8" x14ac:dyDescent="0.25">
      <c r="A318" t="s">
        <v>347</v>
      </c>
      <c r="B318" t="s">
        <v>51</v>
      </c>
      <c r="C318">
        <v>124</v>
      </c>
      <c r="D318" s="4" t="s">
        <v>18</v>
      </c>
      <c r="E318" s="5">
        <v>45022</v>
      </c>
      <c r="F318">
        <v>176</v>
      </c>
      <c r="G318">
        <v>3.9</v>
      </c>
      <c r="H318">
        <f>IF(MONTH(calls[[#This Row],[Date of Call]])&lt;=6, YEAR(calls[[#This Row],[Date of Call]]), YEAR(calls[[#This Row],[Date of Call]])+1)</f>
        <v>2023</v>
      </c>
      <c r="I318" t="str">
        <f>TEXT(calls[[#This Row],[Date of Call]],"DDDD")</f>
        <v>Thursday</v>
      </c>
      <c r="J318" t="str">
        <f t="array" ref="J318">_xlfn.IFS(calls[[#This Row],[Duration]]&lt;=10,"Under 10 mins", calls[[#This Row],[Duration]]&lt;=30, "10 to 30 mins", calls[[#This Row],[Duration]]&lt;=60, "30 to 60 mins", calls[[#This Row],[Duration]]&lt;=120, "1 to 2 hours", TRUE, "More than 2 hours")</f>
        <v>More than 2 hours</v>
      </c>
      <c r="K318">
        <f>ROUND(calls[[#This Row],[Satisfaction Rating]],0)</f>
        <v>4</v>
      </c>
    </row>
    <row r="319" spans="1:11" ht="13.8" x14ac:dyDescent="0.25">
      <c r="A319" t="s">
        <v>348</v>
      </c>
      <c r="B319" t="s">
        <v>17</v>
      </c>
      <c r="C319">
        <v>107</v>
      </c>
      <c r="D319" s="4" t="s">
        <v>18</v>
      </c>
      <c r="E319" s="5">
        <v>45022</v>
      </c>
      <c r="F319">
        <v>115</v>
      </c>
      <c r="G319">
        <v>3.8</v>
      </c>
      <c r="H319">
        <f>IF(MONTH(calls[[#This Row],[Date of Call]])&lt;=6, YEAR(calls[[#This Row],[Date of Call]]), YEAR(calls[[#This Row],[Date of Call]])+1)</f>
        <v>2023</v>
      </c>
      <c r="I319" t="str">
        <f>TEXT(calls[[#This Row],[Date of Call]],"DDDD")</f>
        <v>Thursday</v>
      </c>
      <c r="J319" t="str">
        <f t="array" ref="J319">_xlfn.IFS(calls[[#This Row],[Duration]]&lt;=10,"Under 10 mins", calls[[#This Row],[Duration]]&lt;=30, "10 to 30 mins", calls[[#This Row],[Duration]]&lt;=60, "30 to 60 mins", calls[[#This Row],[Duration]]&lt;=120, "1 to 2 hours", TRUE, "More than 2 hours")</f>
        <v>1 to 2 hours</v>
      </c>
      <c r="K319">
        <f>ROUND(calls[[#This Row],[Satisfaction Rating]],0)</f>
        <v>4</v>
      </c>
    </row>
    <row r="320" spans="1:11" ht="13.8" x14ac:dyDescent="0.25">
      <c r="A320" t="s">
        <v>349</v>
      </c>
      <c r="B320" t="s">
        <v>46</v>
      </c>
      <c r="C320">
        <v>60</v>
      </c>
      <c r="D320" s="4" t="s">
        <v>13</v>
      </c>
      <c r="E320" s="5">
        <v>45022</v>
      </c>
      <c r="F320">
        <v>116</v>
      </c>
      <c r="G320">
        <v>3.9</v>
      </c>
      <c r="H320">
        <f>IF(MONTH(calls[[#This Row],[Date of Call]])&lt;=6, YEAR(calls[[#This Row],[Date of Call]]), YEAR(calls[[#This Row],[Date of Call]])+1)</f>
        <v>2023</v>
      </c>
      <c r="I320" t="str">
        <f>TEXT(calls[[#This Row],[Date of Call]],"DDDD")</f>
        <v>Thursday</v>
      </c>
      <c r="J320" t="str">
        <f t="array" ref="J320">_xlfn.IFS(calls[[#This Row],[Duration]]&lt;=10,"Under 10 mins", calls[[#This Row],[Duration]]&lt;=30, "10 to 30 mins", calls[[#This Row],[Duration]]&lt;=60, "30 to 60 mins", calls[[#This Row],[Duration]]&lt;=120, "1 to 2 hours", TRUE, "More than 2 hours")</f>
        <v>30 to 60 mins</v>
      </c>
      <c r="K320">
        <f>ROUND(calls[[#This Row],[Satisfaction Rating]],0)</f>
        <v>4</v>
      </c>
    </row>
    <row r="321" spans="1:11" ht="13.8" x14ac:dyDescent="0.25">
      <c r="A321" t="s">
        <v>350</v>
      </c>
      <c r="B321" t="s">
        <v>46</v>
      </c>
      <c r="C321">
        <v>158</v>
      </c>
      <c r="D321" s="4" t="s">
        <v>32</v>
      </c>
      <c r="E321" s="5">
        <v>45022</v>
      </c>
      <c r="F321">
        <v>100</v>
      </c>
      <c r="G321">
        <v>4.0999999999999996</v>
      </c>
      <c r="H321">
        <f>IF(MONTH(calls[[#This Row],[Date of Call]])&lt;=6, YEAR(calls[[#This Row],[Date of Call]]), YEAR(calls[[#This Row],[Date of Call]])+1)</f>
        <v>2023</v>
      </c>
      <c r="I321" t="str">
        <f>TEXT(calls[[#This Row],[Date of Call]],"DDDD")</f>
        <v>Thursday</v>
      </c>
      <c r="J321" t="str">
        <f t="array" ref="J321">_xlfn.IFS(calls[[#This Row],[Duration]]&lt;=10,"Under 10 mins", calls[[#This Row],[Duration]]&lt;=30, "10 to 30 mins", calls[[#This Row],[Duration]]&lt;=60, "30 to 60 mins", calls[[#This Row],[Duration]]&lt;=120, "1 to 2 hours", TRUE, "More than 2 hours")</f>
        <v>More than 2 hours</v>
      </c>
      <c r="K321">
        <f>ROUND(calls[[#This Row],[Satisfaction Rating]],0)</f>
        <v>4</v>
      </c>
    </row>
    <row r="322" spans="1:11" ht="13.8" x14ac:dyDescent="0.25">
      <c r="A322" t="s">
        <v>351</v>
      </c>
      <c r="B322" t="s">
        <v>43</v>
      </c>
      <c r="C322">
        <v>110</v>
      </c>
      <c r="D322" s="4" t="s">
        <v>32</v>
      </c>
      <c r="E322" s="5">
        <v>45023</v>
      </c>
      <c r="F322">
        <v>36</v>
      </c>
      <c r="G322">
        <v>2.2000000000000002</v>
      </c>
      <c r="H322">
        <f>IF(MONTH(calls[[#This Row],[Date of Call]])&lt;=6, YEAR(calls[[#This Row],[Date of Call]]), YEAR(calls[[#This Row],[Date of Call]])+1)</f>
        <v>2023</v>
      </c>
      <c r="I322" t="str">
        <f>TEXT(calls[[#This Row],[Date of Call]],"DDDD")</f>
        <v>Friday</v>
      </c>
      <c r="J322" t="str">
        <f t="array" ref="J322">_xlfn.IFS(calls[[#This Row],[Duration]]&lt;=10,"Under 10 mins", calls[[#This Row],[Duration]]&lt;=30, "10 to 30 mins", calls[[#This Row],[Duration]]&lt;=60, "30 to 60 mins", calls[[#This Row],[Duration]]&lt;=120, "1 to 2 hours", TRUE, "More than 2 hours")</f>
        <v>1 to 2 hours</v>
      </c>
      <c r="K322">
        <f>ROUND(calls[[#This Row],[Satisfaction Rating]],0)</f>
        <v>2</v>
      </c>
    </row>
    <row r="323" spans="1:11" ht="13.8" x14ac:dyDescent="0.25">
      <c r="A323" t="s">
        <v>352</v>
      </c>
      <c r="B323" t="s">
        <v>64</v>
      </c>
      <c r="C323">
        <v>70</v>
      </c>
      <c r="D323" s="4" t="s">
        <v>32</v>
      </c>
      <c r="E323" s="5">
        <v>45023</v>
      </c>
      <c r="F323">
        <v>114</v>
      </c>
      <c r="G323">
        <v>5</v>
      </c>
      <c r="H323">
        <f>IF(MONTH(calls[[#This Row],[Date of Call]])&lt;=6, YEAR(calls[[#This Row],[Date of Call]]), YEAR(calls[[#This Row],[Date of Call]])+1)</f>
        <v>2023</v>
      </c>
      <c r="I323" t="str">
        <f>TEXT(calls[[#This Row],[Date of Call]],"DDDD")</f>
        <v>Friday</v>
      </c>
      <c r="J323" t="str">
        <f t="array" ref="J323">_xlfn.IFS(calls[[#This Row],[Duration]]&lt;=10,"Under 10 mins", calls[[#This Row],[Duration]]&lt;=30, "10 to 30 mins", calls[[#This Row],[Duration]]&lt;=60, "30 to 60 mins", calls[[#This Row],[Duration]]&lt;=120, "1 to 2 hours", TRUE, "More than 2 hours")</f>
        <v>1 to 2 hours</v>
      </c>
      <c r="K323">
        <f>ROUND(calls[[#This Row],[Satisfaction Rating]],0)</f>
        <v>5</v>
      </c>
    </row>
    <row r="324" spans="1:11" ht="13.8" x14ac:dyDescent="0.25">
      <c r="A324" t="s">
        <v>353</v>
      </c>
      <c r="B324" t="s">
        <v>64</v>
      </c>
      <c r="C324">
        <v>150</v>
      </c>
      <c r="D324" s="4" t="s">
        <v>13</v>
      </c>
      <c r="E324" s="5">
        <v>45023</v>
      </c>
      <c r="F324">
        <v>24</v>
      </c>
      <c r="G324">
        <v>3.8</v>
      </c>
      <c r="H324">
        <f>IF(MONTH(calls[[#This Row],[Date of Call]])&lt;=6, YEAR(calls[[#This Row],[Date of Call]]), YEAR(calls[[#This Row],[Date of Call]])+1)</f>
        <v>2023</v>
      </c>
      <c r="I324" t="str">
        <f>TEXT(calls[[#This Row],[Date of Call]],"DDDD")</f>
        <v>Friday</v>
      </c>
      <c r="J324" t="str">
        <f t="array" ref="J324">_xlfn.IFS(calls[[#This Row],[Duration]]&lt;=10,"Under 10 mins", calls[[#This Row],[Duration]]&lt;=30, "10 to 30 mins", calls[[#This Row],[Duration]]&lt;=60, "30 to 60 mins", calls[[#This Row],[Duration]]&lt;=120, "1 to 2 hours", TRUE, "More than 2 hours")</f>
        <v>More than 2 hours</v>
      </c>
      <c r="K324">
        <f>ROUND(calls[[#This Row],[Satisfaction Rating]],0)</f>
        <v>4</v>
      </c>
    </row>
    <row r="325" spans="1:11" ht="13.8" x14ac:dyDescent="0.25">
      <c r="A325" t="s">
        <v>354</v>
      </c>
      <c r="B325" t="s">
        <v>26</v>
      </c>
      <c r="C325">
        <v>36</v>
      </c>
      <c r="D325" s="4" t="s">
        <v>18</v>
      </c>
      <c r="E325" s="5">
        <v>45023</v>
      </c>
      <c r="F325">
        <v>135</v>
      </c>
      <c r="G325">
        <v>4.5999999999999996</v>
      </c>
      <c r="H325">
        <f>IF(MONTH(calls[[#This Row],[Date of Call]])&lt;=6, YEAR(calls[[#This Row],[Date of Call]]), YEAR(calls[[#This Row],[Date of Call]])+1)</f>
        <v>2023</v>
      </c>
      <c r="I325" t="str">
        <f>TEXT(calls[[#This Row],[Date of Call]],"DDDD")</f>
        <v>Friday</v>
      </c>
      <c r="J325" t="str">
        <f t="array" ref="J325">_xlfn.IFS(calls[[#This Row],[Duration]]&lt;=10,"Under 10 mins", calls[[#This Row],[Duration]]&lt;=30, "10 to 30 mins", calls[[#This Row],[Duration]]&lt;=60, "30 to 60 mins", calls[[#This Row],[Duration]]&lt;=120, "1 to 2 hours", TRUE, "More than 2 hours")</f>
        <v>30 to 60 mins</v>
      </c>
      <c r="K325">
        <f>ROUND(calls[[#This Row],[Satisfaction Rating]],0)</f>
        <v>5</v>
      </c>
    </row>
    <row r="326" spans="1:11" ht="13.8" x14ac:dyDescent="0.25">
      <c r="A326" t="s">
        <v>355</v>
      </c>
      <c r="B326" t="s">
        <v>51</v>
      </c>
      <c r="C326">
        <v>74</v>
      </c>
      <c r="D326" s="4" t="s">
        <v>18</v>
      </c>
      <c r="E326" s="5">
        <v>45023</v>
      </c>
      <c r="F326">
        <v>30</v>
      </c>
      <c r="G326">
        <v>4</v>
      </c>
      <c r="H326">
        <f>IF(MONTH(calls[[#This Row],[Date of Call]])&lt;=6, YEAR(calls[[#This Row],[Date of Call]]), YEAR(calls[[#This Row],[Date of Call]])+1)</f>
        <v>2023</v>
      </c>
      <c r="I326" t="str">
        <f>TEXT(calls[[#This Row],[Date of Call]],"DDDD")</f>
        <v>Friday</v>
      </c>
      <c r="J326" t="str">
        <f t="array" ref="J326">_xlfn.IFS(calls[[#This Row],[Duration]]&lt;=10,"Under 10 mins", calls[[#This Row],[Duration]]&lt;=30, "10 to 30 mins", calls[[#This Row],[Duration]]&lt;=60, "30 to 60 mins", calls[[#This Row],[Duration]]&lt;=120, "1 to 2 hours", TRUE, "More than 2 hours")</f>
        <v>1 to 2 hours</v>
      </c>
      <c r="K326">
        <f>ROUND(calls[[#This Row],[Satisfaction Rating]],0)</f>
        <v>4</v>
      </c>
    </row>
    <row r="327" spans="1:11" ht="13.8" x14ac:dyDescent="0.25">
      <c r="A327" t="s">
        <v>356</v>
      </c>
      <c r="B327" t="s">
        <v>15</v>
      </c>
      <c r="C327">
        <v>75</v>
      </c>
      <c r="D327" s="4" t="s">
        <v>18</v>
      </c>
      <c r="E327" s="5">
        <v>45023</v>
      </c>
      <c r="F327">
        <v>84</v>
      </c>
      <c r="G327">
        <v>2.8</v>
      </c>
      <c r="H327">
        <f>IF(MONTH(calls[[#This Row],[Date of Call]])&lt;=6, YEAR(calls[[#This Row],[Date of Call]]), YEAR(calls[[#This Row],[Date of Call]])+1)</f>
        <v>2023</v>
      </c>
      <c r="I327" t="str">
        <f>TEXT(calls[[#This Row],[Date of Call]],"DDDD")</f>
        <v>Friday</v>
      </c>
      <c r="J327" t="str">
        <f t="array" ref="J327">_xlfn.IFS(calls[[#This Row],[Duration]]&lt;=10,"Under 10 mins", calls[[#This Row],[Duration]]&lt;=30, "10 to 30 mins", calls[[#This Row],[Duration]]&lt;=60, "30 to 60 mins", calls[[#This Row],[Duration]]&lt;=120, "1 to 2 hours", TRUE, "More than 2 hours")</f>
        <v>1 to 2 hours</v>
      </c>
      <c r="K327">
        <f>ROUND(calls[[#This Row],[Satisfaction Rating]],0)</f>
        <v>3</v>
      </c>
    </row>
    <row r="328" spans="1:11" ht="13.8" x14ac:dyDescent="0.25">
      <c r="A328" t="s">
        <v>357</v>
      </c>
      <c r="B328" t="s">
        <v>84</v>
      </c>
      <c r="C328">
        <v>70</v>
      </c>
      <c r="D328" s="4" t="s">
        <v>28</v>
      </c>
      <c r="E328" s="5">
        <v>45023</v>
      </c>
      <c r="F328">
        <v>42</v>
      </c>
      <c r="G328">
        <v>4.4000000000000004</v>
      </c>
      <c r="H328">
        <f>IF(MONTH(calls[[#This Row],[Date of Call]])&lt;=6, YEAR(calls[[#This Row],[Date of Call]]), YEAR(calls[[#This Row],[Date of Call]])+1)</f>
        <v>2023</v>
      </c>
      <c r="I328" t="str">
        <f>TEXT(calls[[#This Row],[Date of Call]],"DDDD")</f>
        <v>Friday</v>
      </c>
      <c r="J328" t="str">
        <f t="array" ref="J328">_xlfn.IFS(calls[[#This Row],[Duration]]&lt;=10,"Under 10 mins", calls[[#This Row],[Duration]]&lt;=30, "10 to 30 mins", calls[[#This Row],[Duration]]&lt;=60, "30 to 60 mins", calls[[#This Row],[Duration]]&lt;=120, "1 to 2 hours", TRUE, "More than 2 hours")</f>
        <v>1 to 2 hours</v>
      </c>
      <c r="K328">
        <f>ROUND(calls[[#This Row],[Satisfaction Rating]],0)</f>
        <v>4</v>
      </c>
    </row>
    <row r="329" spans="1:11" ht="13.8" x14ac:dyDescent="0.25">
      <c r="A329" t="s">
        <v>358</v>
      </c>
      <c r="B329" t="s">
        <v>43</v>
      </c>
      <c r="C329">
        <v>23</v>
      </c>
      <c r="D329" s="4" t="s">
        <v>32</v>
      </c>
      <c r="E329" s="5">
        <v>45023</v>
      </c>
      <c r="F329">
        <v>117</v>
      </c>
      <c r="G329">
        <v>2.4</v>
      </c>
      <c r="H329">
        <f>IF(MONTH(calls[[#This Row],[Date of Call]])&lt;=6, YEAR(calls[[#This Row],[Date of Call]]), YEAR(calls[[#This Row],[Date of Call]])+1)</f>
        <v>2023</v>
      </c>
      <c r="I329" t="str">
        <f>TEXT(calls[[#This Row],[Date of Call]],"DDDD")</f>
        <v>Friday</v>
      </c>
      <c r="J329" t="str">
        <f t="array" ref="J329">_xlfn.IFS(calls[[#This Row],[Duration]]&lt;=10,"Under 10 mins", calls[[#This Row],[Duration]]&lt;=30, "10 to 30 mins", calls[[#This Row],[Duration]]&lt;=60, "30 to 60 mins", calls[[#This Row],[Duration]]&lt;=120, "1 to 2 hours", TRUE, "More than 2 hours")</f>
        <v>10 to 30 mins</v>
      </c>
      <c r="K329">
        <f>ROUND(calls[[#This Row],[Satisfaction Rating]],0)</f>
        <v>2</v>
      </c>
    </row>
    <row r="330" spans="1:11" ht="13.8" x14ac:dyDescent="0.25">
      <c r="A330" t="s">
        <v>359</v>
      </c>
      <c r="B330" t="s">
        <v>31</v>
      </c>
      <c r="C330">
        <v>104</v>
      </c>
      <c r="D330" s="4" t="s">
        <v>23</v>
      </c>
      <c r="E330" s="5">
        <v>45023</v>
      </c>
      <c r="F330">
        <v>164</v>
      </c>
      <c r="G330">
        <v>4</v>
      </c>
      <c r="H330">
        <f>IF(MONTH(calls[[#This Row],[Date of Call]])&lt;=6, YEAR(calls[[#This Row],[Date of Call]]), YEAR(calls[[#This Row],[Date of Call]])+1)</f>
        <v>2023</v>
      </c>
      <c r="I330" t="str">
        <f>TEXT(calls[[#This Row],[Date of Call]],"DDDD")</f>
        <v>Friday</v>
      </c>
      <c r="J330" t="str">
        <f t="array" ref="J330">_xlfn.IFS(calls[[#This Row],[Duration]]&lt;=10,"Under 10 mins", calls[[#This Row],[Duration]]&lt;=30, "10 to 30 mins", calls[[#This Row],[Duration]]&lt;=60, "30 to 60 mins", calls[[#This Row],[Duration]]&lt;=120, "1 to 2 hours", TRUE, "More than 2 hours")</f>
        <v>1 to 2 hours</v>
      </c>
      <c r="K330">
        <f>ROUND(calls[[#This Row],[Satisfaction Rating]],0)</f>
        <v>4</v>
      </c>
    </row>
    <row r="331" spans="1:11" ht="13.8" x14ac:dyDescent="0.25">
      <c r="A331" t="s">
        <v>360</v>
      </c>
      <c r="B331" t="s">
        <v>64</v>
      </c>
      <c r="C331">
        <v>95</v>
      </c>
      <c r="D331" s="4" t="s">
        <v>28</v>
      </c>
      <c r="E331" s="5">
        <v>45024</v>
      </c>
      <c r="F331">
        <v>123</v>
      </c>
      <c r="G331">
        <v>4.4000000000000004</v>
      </c>
      <c r="H331">
        <f>IF(MONTH(calls[[#This Row],[Date of Call]])&lt;=6, YEAR(calls[[#This Row],[Date of Call]]), YEAR(calls[[#This Row],[Date of Call]])+1)</f>
        <v>2023</v>
      </c>
      <c r="I331" t="str">
        <f>TEXT(calls[[#This Row],[Date of Call]],"DDDD")</f>
        <v>Saturday</v>
      </c>
      <c r="J331" t="str">
        <f t="array" ref="J331">_xlfn.IFS(calls[[#This Row],[Duration]]&lt;=10,"Under 10 mins", calls[[#This Row],[Duration]]&lt;=30, "10 to 30 mins", calls[[#This Row],[Duration]]&lt;=60, "30 to 60 mins", calls[[#This Row],[Duration]]&lt;=120, "1 to 2 hours", TRUE, "More than 2 hours")</f>
        <v>1 to 2 hours</v>
      </c>
      <c r="K331">
        <f>ROUND(calls[[#This Row],[Satisfaction Rating]],0)</f>
        <v>4</v>
      </c>
    </row>
    <row r="332" spans="1:11" ht="13.8" x14ac:dyDescent="0.25">
      <c r="A332" t="s">
        <v>361</v>
      </c>
      <c r="B332" t="s">
        <v>22</v>
      </c>
      <c r="C332">
        <v>49</v>
      </c>
      <c r="D332" s="4" t="s">
        <v>13</v>
      </c>
      <c r="E332" s="5">
        <v>45024</v>
      </c>
      <c r="F332">
        <v>172</v>
      </c>
      <c r="G332">
        <v>2.9</v>
      </c>
      <c r="H332">
        <f>IF(MONTH(calls[[#This Row],[Date of Call]])&lt;=6, YEAR(calls[[#This Row],[Date of Call]]), YEAR(calls[[#This Row],[Date of Call]])+1)</f>
        <v>2023</v>
      </c>
      <c r="I332" t="str">
        <f>TEXT(calls[[#This Row],[Date of Call]],"DDDD")</f>
        <v>Saturday</v>
      </c>
      <c r="J332" t="str">
        <f t="array" ref="J332">_xlfn.IFS(calls[[#This Row],[Duration]]&lt;=10,"Under 10 mins", calls[[#This Row],[Duration]]&lt;=30, "10 to 30 mins", calls[[#This Row],[Duration]]&lt;=60, "30 to 60 mins", calls[[#This Row],[Duration]]&lt;=120, "1 to 2 hours", TRUE, "More than 2 hours")</f>
        <v>30 to 60 mins</v>
      </c>
      <c r="K332">
        <f>ROUND(calls[[#This Row],[Satisfaction Rating]],0)</f>
        <v>3</v>
      </c>
    </row>
    <row r="333" spans="1:11" ht="13.8" x14ac:dyDescent="0.25">
      <c r="A333" t="s">
        <v>362</v>
      </c>
      <c r="B333" t="s">
        <v>54</v>
      </c>
      <c r="C333">
        <v>8</v>
      </c>
      <c r="D333" s="4" t="s">
        <v>32</v>
      </c>
      <c r="E333" s="5">
        <v>45024</v>
      </c>
      <c r="F333">
        <v>20</v>
      </c>
      <c r="G333">
        <v>4.8</v>
      </c>
      <c r="H333">
        <f>IF(MONTH(calls[[#This Row],[Date of Call]])&lt;=6, YEAR(calls[[#This Row],[Date of Call]]), YEAR(calls[[#This Row],[Date of Call]])+1)</f>
        <v>2023</v>
      </c>
      <c r="I333" t="str">
        <f>TEXT(calls[[#This Row],[Date of Call]],"DDDD")</f>
        <v>Saturday</v>
      </c>
      <c r="J333" t="str">
        <f t="array" ref="J333">_xlfn.IFS(calls[[#This Row],[Duration]]&lt;=10,"Under 10 mins", calls[[#This Row],[Duration]]&lt;=30, "10 to 30 mins", calls[[#This Row],[Duration]]&lt;=60, "30 to 60 mins", calls[[#This Row],[Duration]]&lt;=120, "1 to 2 hours", TRUE, "More than 2 hours")</f>
        <v>Under 10 mins</v>
      </c>
      <c r="K333">
        <f>ROUND(calls[[#This Row],[Satisfaction Rating]],0)</f>
        <v>5</v>
      </c>
    </row>
    <row r="334" spans="1:11" ht="13.8" x14ac:dyDescent="0.25">
      <c r="A334" t="s">
        <v>363</v>
      </c>
      <c r="B334" t="s">
        <v>64</v>
      </c>
      <c r="C334">
        <v>157</v>
      </c>
      <c r="D334" s="4" t="s">
        <v>13</v>
      </c>
      <c r="E334" s="5">
        <v>45024</v>
      </c>
      <c r="F334">
        <v>72</v>
      </c>
      <c r="G334">
        <v>3.7</v>
      </c>
      <c r="H334">
        <f>IF(MONTH(calls[[#This Row],[Date of Call]])&lt;=6, YEAR(calls[[#This Row],[Date of Call]]), YEAR(calls[[#This Row],[Date of Call]])+1)</f>
        <v>2023</v>
      </c>
      <c r="I334" t="str">
        <f>TEXT(calls[[#This Row],[Date of Call]],"DDDD")</f>
        <v>Saturday</v>
      </c>
      <c r="J334" t="str">
        <f t="array" ref="J334">_xlfn.IFS(calls[[#This Row],[Duration]]&lt;=10,"Under 10 mins", calls[[#This Row],[Duration]]&lt;=30, "10 to 30 mins", calls[[#This Row],[Duration]]&lt;=60, "30 to 60 mins", calls[[#This Row],[Duration]]&lt;=120, "1 to 2 hours", TRUE, "More than 2 hours")</f>
        <v>More than 2 hours</v>
      </c>
      <c r="K334">
        <f>ROUND(calls[[#This Row],[Satisfaction Rating]],0)</f>
        <v>4</v>
      </c>
    </row>
    <row r="335" spans="1:11" ht="13.8" x14ac:dyDescent="0.25">
      <c r="A335" t="s">
        <v>364</v>
      </c>
      <c r="B335" t="s">
        <v>17</v>
      </c>
      <c r="C335">
        <v>74</v>
      </c>
      <c r="D335" s="4" t="s">
        <v>18</v>
      </c>
      <c r="E335" s="5">
        <v>45024</v>
      </c>
      <c r="F335">
        <v>32</v>
      </c>
      <c r="G335">
        <v>4.8</v>
      </c>
      <c r="H335">
        <f>IF(MONTH(calls[[#This Row],[Date of Call]])&lt;=6, YEAR(calls[[#This Row],[Date of Call]]), YEAR(calls[[#This Row],[Date of Call]])+1)</f>
        <v>2023</v>
      </c>
      <c r="I335" t="str">
        <f>TEXT(calls[[#This Row],[Date of Call]],"DDDD")</f>
        <v>Saturday</v>
      </c>
      <c r="J335" t="str">
        <f t="array" ref="J335">_xlfn.IFS(calls[[#This Row],[Duration]]&lt;=10,"Under 10 mins", calls[[#This Row],[Duration]]&lt;=30, "10 to 30 mins", calls[[#This Row],[Duration]]&lt;=60, "30 to 60 mins", calls[[#This Row],[Duration]]&lt;=120, "1 to 2 hours", TRUE, "More than 2 hours")</f>
        <v>1 to 2 hours</v>
      </c>
      <c r="K335">
        <f>ROUND(calls[[#This Row],[Satisfaction Rating]],0)</f>
        <v>5</v>
      </c>
    </row>
    <row r="336" spans="1:11" ht="13.8" x14ac:dyDescent="0.25">
      <c r="A336" t="s">
        <v>365</v>
      </c>
      <c r="B336" t="s">
        <v>43</v>
      </c>
      <c r="C336">
        <v>72</v>
      </c>
      <c r="D336" s="4" t="s">
        <v>28</v>
      </c>
      <c r="E336" s="5">
        <v>45024</v>
      </c>
      <c r="F336">
        <v>140</v>
      </c>
      <c r="G336">
        <v>3.2</v>
      </c>
      <c r="H336">
        <f>IF(MONTH(calls[[#This Row],[Date of Call]])&lt;=6, YEAR(calls[[#This Row],[Date of Call]]), YEAR(calls[[#This Row],[Date of Call]])+1)</f>
        <v>2023</v>
      </c>
      <c r="I336" t="str">
        <f>TEXT(calls[[#This Row],[Date of Call]],"DDDD")</f>
        <v>Saturday</v>
      </c>
      <c r="J336" t="str">
        <f t="array" ref="J336">_xlfn.IFS(calls[[#This Row],[Duration]]&lt;=10,"Under 10 mins", calls[[#This Row],[Duration]]&lt;=30, "10 to 30 mins", calls[[#This Row],[Duration]]&lt;=60, "30 to 60 mins", calls[[#This Row],[Duration]]&lt;=120, "1 to 2 hours", TRUE, "More than 2 hours")</f>
        <v>1 to 2 hours</v>
      </c>
      <c r="K336">
        <f>ROUND(calls[[#This Row],[Satisfaction Rating]],0)</f>
        <v>3</v>
      </c>
    </row>
    <row r="337" spans="1:11" ht="13.8" x14ac:dyDescent="0.25">
      <c r="A337" t="s">
        <v>366</v>
      </c>
      <c r="B337" t="s">
        <v>17</v>
      </c>
      <c r="C337">
        <v>79</v>
      </c>
      <c r="D337" s="4" t="s">
        <v>18</v>
      </c>
      <c r="E337" s="5">
        <v>45025</v>
      </c>
      <c r="F337">
        <v>120</v>
      </c>
      <c r="G337">
        <v>4.9000000000000004</v>
      </c>
      <c r="H337">
        <f>IF(MONTH(calls[[#This Row],[Date of Call]])&lt;=6, YEAR(calls[[#This Row],[Date of Call]]), YEAR(calls[[#This Row],[Date of Call]])+1)</f>
        <v>2023</v>
      </c>
      <c r="I337" t="str">
        <f>TEXT(calls[[#This Row],[Date of Call]],"DDDD")</f>
        <v>Sunday</v>
      </c>
      <c r="J337" t="str">
        <f t="array" ref="J337">_xlfn.IFS(calls[[#This Row],[Duration]]&lt;=10,"Under 10 mins", calls[[#This Row],[Duration]]&lt;=30, "10 to 30 mins", calls[[#This Row],[Duration]]&lt;=60, "30 to 60 mins", calls[[#This Row],[Duration]]&lt;=120, "1 to 2 hours", TRUE, "More than 2 hours")</f>
        <v>1 to 2 hours</v>
      </c>
      <c r="K337">
        <f>ROUND(calls[[#This Row],[Satisfaction Rating]],0)</f>
        <v>5</v>
      </c>
    </row>
    <row r="338" spans="1:11" ht="13.8" x14ac:dyDescent="0.25">
      <c r="A338" t="s">
        <v>367</v>
      </c>
      <c r="B338" t="s">
        <v>51</v>
      </c>
      <c r="C338">
        <v>23</v>
      </c>
      <c r="D338" s="4" t="s">
        <v>18</v>
      </c>
      <c r="E338" s="5">
        <v>45025</v>
      </c>
      <c r="F338">
        <v>86</v>
      </c>
      <c r="G338">
        <v>2.2000000000000002</v>
      </c>
      <c r="H338">
        <f>IF(MONTH(calls[[#This Row],[Date of Call]])&lt;=6, YEAR(calls[[#This Row],[Date of Call]]), YEAR(calls[[#This Row],[Date of Call]])+1)</f>
        <v>2023</v>
      </c>
      <c r="I338" t="str">
        <f>TEXT(calls[[#This Row],[Date of Call]],"DDDD")</f>
        <v>Sunday</v>
      </c>
      <c r="J338" t="str">
        <f t="array" ref="J338">_xlfn.IFS(calls[[#This Row],[Duration]]&lt;=10,"Under 10 mins", calls[[#This Row],[Duration]]&lt;=30, "10 to 30 mins", calls[[#This Row],[Duration]]&lt;=60, "30 to 60 mins", calls[[#This Row],[Duration]]&lt;=120, "1 to 2 hours", TRUE, "More than 2 hours")</f>
        <v>10 to 30 mins</v>
      </c>
      <c r="K338">
        <f>ROUND(calls[[#This Row],[Satisfaction Rating]],0)</f>
        <v>2</v>
      </c>
    </row>
    <row r="339" spans="1:11" ht="13.8" x14ac:dyDescent="0.25">
      <c r="A339" t="s">
        <v>368</v>
      </c>
      <c r="B339" t="s">
        <v>15</v>
      </c>
      <c r="C339">
        <v>69</v>
      </c>
      <c r="D339" s="4" t="s">
        <v>18</v>
      </c>
      <c r="E339" s="5">
        <v>45025</v>
      </c>
      <c r="F339">
        <v>132</v>
      </c>
      <c r="G339">
        <v>5</v>
      </c>
      <c r="H339">
        <f>IF(MONTH(calls[[#This Row],[Date of Call]])&lt;=6, YEAR(calls[[#This Row],[Date of Call]]), YEAR(calls[[#This Row],[Date of Call]])+1)</f>
        <v>2023</v>
      </c>
      <c r="I339" t="str">
        <f>TEXT(calls[[#This Row],[Date of Call]],"DDDD")</f>
        <v>Sunday</v>
      </c>
      <c r="J339" t="str">
        <f t="array" ref="J339">_xlfn.IFS(calls[[#This Row],[Duration]]&lt;=10,"Under 10 mins", calls[[#This Row],[Duration]]&lt;=30, "10 to 30 mins", calls[[#This Row],[Duration]]&lt;=60, "30 to 60 mins", calls[[#This Row],[Duration]]&lt;=120, "1 to 2 hours", TRUE, "More than 2 hours")</f>
        <v>1 to 2 hours</v>
      </c>
      <c r="K339">
        <f>ROUND(calls[[#This Row],[Satisfaction Rating]],0)</f>
        <v>5</v>
      </c>
    </row>
    <row r="340" spans="1:11" ht="13.8" x14ac:dyDescent="0.25">
      <c r="A340" t="s">
        <v>369</v>
      </c>
      <c r="B340" t="s">
        <v>46</v>
      </c>
      <c r="C340">
        <v>64</v>
      </c>
      <c r="D340" s="4" t="s">
        <v>18</v>
      </c>
      <c r="E340" s="5">
        <v>45025</v>
      </c>
      <c r="F340">
        <v>80</v>
      </c>
      <c r="G340">
        <v>3.3</v>
      </c>
      <c r="H340">
        <f>IF(MONTH(calls[[#This Row],[Date of Call]])&lt;=6, YEAR(calls[[#This Row],[Date of Call]]), YEAR(calls[[#This Row],[Date of Call]])+1)</f>
        <v>2023</v>
      </c>
      <c r="I340" t="str">
        <f>TEXT(calls[[#This Row],[Date of Call]],"DDDD")</f>
        <v>Sunday</v>
      </c>
      <c r="J340" t="str">
        <f t="array" ref="J340">_xlfn.IFS(calls[[#This Row],[Duration]]&lt;=10,"Under 10 mins", calls[[#This Row],[Duration]]&lt;=30, "10 to 30 mins", calls[[#This Row],[Duration]]&lt;=60, "30 to 60 mins", calls[[#This Row],[Duration]]&lt;=120, "1 to 2 hours", TRUE, "More than 2 hours")</f>
        <v>1 to 2 hours</v>
      </c>
      <c r="K340">
        <f>ROUND(calls[[#This Row],[Satisfaction Rating]],0)</f>
        <v>3</v>
      </c>
    </row>
    <row r="341" spans="1:11" ht="13.8" x14ac:dyDescent="0.25">
      <c r="A341" t="s">
        <v>370</v>
      </c>
      <c r="B341" t="s">
        <v>37</v>
      </c>
      <c r="C341">
        <v>47</v>
      </c>
      <c r="D341" s="4" t="s">
        <v>13</v>
      </c>
      <c r="E341" s="5">
        <v>45025</v>
      </c>
      <c r="F341">
        <v>132</v>
      </c>
      <c r="G341">
        <v>3.7</v>
      </c>
      <c r="H341">
        <f>IF(MONTH(calls[[#This Row],[Date of Call]])&lt;=6, YEAR(calls[[#This Row],[Date of Call]]), YEAR(calls[[#This Row],[Date of Call]])+1)</f>
        <v>2023</v>
      </c>
      <c r="I341" t="str">
        <f>TEXT(calls[[#This Row],[Date of Call]],"DDDD")</f>
        <v>Sunday</v>
      </c>
      <c r="J341" t="str">
        <f t="array" ref="J341">_xlfn.IFS(calls[[#This Row],[Duration]]&lt;=10,"Under 10 mins", calls[[#This Row],[Duration]]&lt;=30, "10 to 30 mins", calls[[#This Row],[Duration]]&lt;=60, "30 to 60 mins", calls[[#This Row],[Duration]]&lt;=120, "1 to 2 hours", TRUE, "More than 2 hours")</f>
        <v>30 to 60 mins</v>
      </c>
      <c r="K341">
        <f>ROUND(calls[[#This Row],[Satisfaction Rating]],0)</f>
        <v>4</v>
      </c>
    </row>
    <row r="342" spans="1:11" ht="13.8" x14ac:dyDescent="0.25">
      <c r="A342" t="s">
        <v>371</v>
      </c>
      <c r="B342" t="s">
        <v>17</v>
      </c>
      <c r="C342">
        <v>55</v>
      </c>
      <c r="D342" s="4" t="s">
        <v>28</v>
      </c>
      <c r="E342" s="5">
        <v>45025</v>
      </c>
      <c r="F342">
        <v>27</v>
      </c>
      <c r="G342">
        <v>3.7</v>
      </c>
      <c r="H342">
        <f>IF(MONTH(calls[[#This Row],[Date of Call]])&lt;=6, YEAR(calls[[#This Row],[Date of Call]]), YEAR(calls[[#This Row],[Date of Call]])+1)</f>
        <v>2023</v>
      </c>
      <c r="I342" t="str">
        <f>TEXT(calls[[#This Row],[Date of Call]],"DDDD")</f>
        <v>Sunday</v>
      </c>
      <c r="J342" t="str">
        <f t="array" ref="J342">_xlfn.IFS(calls[[#This Row],[Duration]]&lt;=10,"Under 10 mins", calls[[#This Row],[Duration]]&lt;=30, "10 to 30 mins", calls[[#This Row],[Duration]]&lt;=60, "30 to 60 mins", calls[[#This Row],[Duration]]&lt;=120, "1 to 2 hours", TRUE, "More than 2 hours")</f>
        <v>30 to 60 mins</v>
      </c>
      <c r="K342">
        <f>ROUND(calls[[#This Row],[Satisfaction Rating]],0)</f>
        <v>4</v>
      </c>
    </row>
    <row r="343" spans="1:11" ht="13.8" x14ac:dyDescent="0.25">
      <c r="A343" t="s">
        <v>372</v>
      </c>
      <c r="B343" t="s">
        <v>31</v>
      </c>
      <c r="C343">
        <v>104</v>
      </c>
      <c r="D343" s="4" t="s">
        <v>28</v>
      </c>
      <c r="E343" s="5">
        <v>45026</v>
      </c>
      <c r="F343">
        <v>68</v>
      </c>
      <c r="G343">
        <v>3.6</v>
      </c>
      <c r="H343">
        <f>IF(MONTH(calls[[#This Row],[Date of Call]])&lt;=6, YEAR(calls[[#This Row],[Date of Call]]), YEAR(calls[[#This Row],[Date of Call]])+1)</f>
        <v>2023</v>
      </c>
      <c r="I343" t="str">
        <f>TEXT(calls[[#This Row],[Date of Call]],"DDDD")</f>
        <v>Monday</v>
      </c>
      <c r="J343" t="str">
        <f t="array" ref="J343">_xlfn.IFS(calls[[#This Row],[Duration]]&lt;=10,"Under 10 mins", calls[[#This Row],[Duration]]&lt;=30, "10 to 30 mins", calls[[#This Row],[Duration]]&lt;=60, "30 to 60 mins", calls[[#This Row],[Duration]]&lt;=120, "1 to 2 hours", TRUE, "More than 2 hours")</f>
        <v>1 to 2 hours</v>
      </c>
      <c r="K343">
        <f>ROUND(calls[[#This Row],[Satisfaction Rating]],0)</f>
        <v>4</v>
      </c>
    </row>
    <row r="344" spans="1:11" ht="13.8" x14ac:dyDescent="0.25">
      <c r="A344" t="s">
        <v>373</v>
      </c>
      <c r="B344" t="s">
        <v>37</v>
      </c>
      <c r="C344">
        <v>116</v>
      </c>
      <c r="D344" s="4" t="s">
        <v>18</v>
      </c>
      <c r="E344" s="5">
        <v>45026</v>
      </c>
      <c r="F344">
        <v>22</v>
      </c>
      <c r="G344">
        <v>4.7</v>
      </c>
      <c r="H344">
        <f>IF(MONTH(calls[[#This Row],[Date of Call]])&lt;=6, YEAR(calls[[#This Row],[Date of Call]]), YEAR(calls[[#This Row],[Date of Call]])+1)</f>
        <v>2023</v>
      </c>
      <c r="I344" t="str">
        <f>TEXT(calls[[#This Row],[Date of Call]],"DDDD")</f>
        <v>Monday</v>
      </c>
      <c r="J344" t="str">
        <f t="array" ref="J344">_xlfn.IFS(calls[[#This Row],[Duration]]&lt;=10,"Under 10 mins", calls[[#This Row],[Duration]]&lt;=30, "10 to 30 mins", calls[[#This Row],[Duration]]&lt;=60, "30 to 60 mins", calls[[#This Row],[Duration]]&lt;=120, "1 to 2 hours", TRUE, "More than 2 hours")</f>
        <v>1 to 2 hours</v>
      </c>
      <c r="K344">
        <f>ROUND(calls[[#This Row],[Satisfaction Rating]],0)</f>
        <v>5</v>
      </c>
    </row>
    <row r="345" spans="1:11" ht="13.8" x14ac:dyDescent="0.25">
      <c r="A345" t="s">
        <v>374</v>
      </c>
      <c r="B345" t="s">
        <v>51</v>
      </c>
      <c r="C345">
        <v>99</v>
      </c>
      <c r="D345" s="4" t="s">
        <v>28</v>
      </c>
      <c r="E345" s="5">
        <v>45026</v>
      </c>
      <c r="F345">
        <v>42</v>
      </c>
      <c r="G345">
        <v>3.1</v>
      </c>
      <c r="H345">
        <f>IF(MONTH(calls[[#This Row],[Date of Call]])&lt;=6, YEAR(calls[[#This Row],[Date of Call]]), YEAR(calls[[#This Row],[Date of Call]])+1)</f>
        <v>2023</v>
      </c>
      <c r="I345" t="str">
        <f>TEXT(calls[[#This Row],[Date of Call]],"DDDD")</f>
        <v>Monday</v>
      </c>
      <c r="J345" t="str">
        <f t="array" ref="J345">_xlfn.IFS(calls[[#This Row],[Duration]]&lt;=10,"Under 10 mins", calls[[#This Row],[Duration]]&lt;=30, "10 to 30 mins", calls[[#This Row],[Duration]]&lt;=60, "30 to 60 mins", calls[[#This Row],[Duration]]&lt;=120, "1 to 2 hours", TRUE, "More than 2 hours")</f>
        <v>1 to 2 hours</v>
      </c>
      <c r="K345">
        <f>ROUND(calls[[#This Row],[Satisfaction Rating]],0)</f>
        <v>3</v>
      </c>
    </row>
    <row r="346" spans="1:11" ht="13.8" x14ac:dyDescent="0.25">
      <c r="A346" t="s">
        <v>375</v>
      </c>
      <c r="B346" t="s">
        <v>31</v>
      </c>
      <c r="C346">
        <v>84</v>
      </c>
      <c r="D346" s="4" t="s">
        <v>28</v>
      </c>
      <c r="E346" s="5">
        <v>45027</v>
      </c>
      <c r="F346">
        <v>38</v>
      </c>
      <c r="G346">
        <v>3.3</v>
      </c>
      <c r="H346">
        <f>IF(MONTH(calls[[#This Row],[Date of Call]])&lt;=6, YEAR(calls[[#This Row],[Date of Call]]), YEAR(calls[[#This Row],[Date of Call]])+1)</f>
        <v>2023</v>
      </c>
      <c r="I346" t="str">
        <f>TEXT(calls[[#This Row],[Date of Call]],"DDDD")</f>
        <v>Tuesday</v>
      </c>
      <c r="J346" t="str">
        <f t="array" ref="J346">_xlfn.IFS(calls[[#This Row],[Duration]]&lt;=10,"Under 10 mins", calls[[#This Row],[Duration]]&lt;=30, "10 to 30 mins", calls[[#This Row],[Duration]]&lt;=60, "30 to 60 mins", calls[[#This Row],[Duration]]&lt;=120, "1 to 2 hours", TRUE, "More than 2 hours")</f>
        <v>1 to 2 hours</v>
      </c>
      <c r="K346">
        <f>ROUND(calls[[#This Row],[Satisfaction Rating]],0)</f>
        <v>3</v>
      </c>
    </row>
    <row r="347" spans="1:11" ht="13.8" x14ac:dyDescent="0.25">
      <c r="A347" t="s">
        <v>376</v>
      </c>
      <c r="B347" t="s">
        <v>54</v>
      </c>
      <c r="C347">
        <v>159</v>
      </c>
      <c r="D347" s="4" t="s">
        <v>28</v>
      </c>
      <c r="E347" s="5">
        <v>45027</v>
      </c>
      <c r="F347">
        <v>42</v>
      </c>
      <c r="G347">
        <v>4.5</v>
      </c>
      <c r="H347">
        <f>IF(MONTH(calls[[#This Row],[Date of Call]])&lt;=6, YEAR(calls[[#This Row],[Date of Call]]), YEAR(calls[[#This Row],[Date of Call]])+1)</f>
        <v>2023</v>
      </c>
      <c r="I347" t="str">
        <f>TEXT(calls[[#This Row],[Date of Call]],"DDDD")</f>
        <v>Tuesday</v>
      </c>
      <c r="J347" t="str">
        <f t="array" ref="J347">_xlfn.IFS(calls[[#This Row],[Duration]]&lt;=10,"Under 10 mins", calls[[#This Row],[Duration]]&lt;=30, "10 to 30 mins", calls[[#This Row],[Duration]]&lt;=60, "30 to 60 mins", calls[[#This Row],[Duration]]&lt;=120, "1 to 2 hours", TRUE, "More than 2 hours")</f>
        <v>More than 2 hours</v>
      </c>
      <c r="K347">
        <f>ROUND(calls[[#This Row],[Satisfaction Rating]],0)</f>
        <v>5</v>
      </c>
    </row>
    <row r="348" spans="1:11" ht="13.8" x14ac:dyDescent="0.25">
      <c r="A348" t="s">
        <v>377</v>
      </c>
      <c r="B348" t="s">
        <v>26</v>
      </c>
      <c r="C348">
        <v>25</v>
      </c>
      <c r="D348" s="4" t="s">
        <v>13</v>
      </c>
      <c r="E348" s="5">
        <v>45027</v>
      </c>
      <c r="F348">
        <v>75</v>
      </c>
      <c r="G348">
        <v>3.9</v>
      </c>
      <c r="H348">
        <f>IF(MONTH(calls[[#This Row],[Date of Call]])&lt;=6, YEAR(calls[[#This Row],[Date of Call]]), YEAR(calls[[#This Row],[Date of Call]])+1)</f>
        <v>2023</v>
      </c>
      <c r="I348" t="str">
        <f>TEXT(calls[[#This Row],[Date of Call]],"DDDD")</f>
        <v>Tuesday</v>
      </c>
      <c r="J348" t="str">
        <f t="array" ref="J348">_xlfn.IFS(calls[[#This Row],[Duration]]&lt;=10,"Under 10 mins", calls[[#This Row],[Duration]]&lt;=30, "10 to 30 mins", calls[[#This Row],[Duration]]&lt;=60, "30 to 60 mins", calls[[#This Row],[Duration]]&lt;=120, "1 to 2 hours", TRUE, "More than 2 hours")</f>
        <v>10 to 30 mins</v>
      </c>
      <c r="K348">
        <f>ROUND(calls[[#This Row],[Satisfaction Rating]],0)</f>
        <v>4</v>
      </c>
    </row>
    <row r="349" spans="1:11" ht="13.8" x14ac:dyDescent="0.25">
      <c r="A349" t="s">
        <v>378</v>
      </c>
      <c r="B349" t="s">
        <v>54</v>
      </c>
      <c r="C349">
        <v>53</v>
      </c>
      <c r="D349" s="4" t="s">
        <v>32</v>
      </c>
      <c r="E349" s="5">
        <v>45028</v>
      </c>
      <c r="F349">
        <v>23</v>
      </c>
      <c r="G349">
        <v>4.9000000000000004</v>
      </c>
      <c r="H349">
        <f>IF(MONTH(calls[[#This Row],[Date of Call]])&lt;=6, YEAR(calls[[#This Row],[Date of Call]]), YEAR(calls[[#This Row],[Date of Call]])+1)</f>
        <v>2023</v>
      </c>
      <c r="I349" t="str">
        <f>TEXT(calls[[#This Row],[Date of Call]],"DDDD")</f>
        <v>Wednesday</v>
      </c>
      <c r="J349" t="str">
        <f t="array" ref="J349">_xlfn.IFS(calls[[#This Row],[Duration]]&lt;=10,"Under 10 mins", calls[[#This Row],[Duration]]&lt;=30, "10 to 30 mins", calls[[#This Row],[Duration]]&lt;=60, "30 to 60 mins", calls[[#This Row],[Duration]]&lt;=120, "1 to 2 hours", TRUE, "More than 2 hours")</f>
        <v>30 to 60 mins</v>
      </c>
      <c r="K349">
        <f>ROUND(calls[[#This Row],[Satisfaction Rating]],0)</f>
        <v>5</v>
      </c>
    </row>
    <row r="350" spans="1:11" ht="13.8" x14ac:dyDescent="0.25">
      <c r="A350" t="s">
        <v>379</v>
      </c>
      <c r="B350" t="s">
        <v>54</v>
      </c>
      <c r="C350">
        <v>89</v>
      </c>
      <c r="D350" s="4" t="s">
        <v>13</v>
      </c>
      <c r="E350" s="5">
        <v>45028</v>
      </c>
      <c r="F350">
        <v>200</v>
      </c>
      <c r="G350">
        <v>4.8</v>
      </c>
      <c r="H350">
        <f>IF(MONTH(calls[[#This Row],[Date of Call]])&lt;=6, YEAR(calls[[#This Row],[Date of Call]]), YEAR(calls[[#This Row],[Date of Call]])+1)</f>
        <v>2023</v>
      </c>
      <c r="I350" t="str">
        <f>TEXT(calls[[#This Row],[Date of Call]],"DDDD")</f>
        <v>Wednesday</v>
      </c>
      <c r="J350" t="str">
        <f t="array" ref="J350">_xlfn.IFS(calls[[#This Row],[Duration]]&lt;=10,"Under 10 mins", calls[[#This Row],[Duration]]&lt;=30, "10 to 30 mins", calls[[#This Row],[Duration]]&lt;=60, "30 to 60 mins", calls[[#This Row],[Duration]]&lt;=120, "1 to 2 hours", TRUE, "More than 2 hours")</f>
        <v>1 to 2 hours</v>
      </c>
      <c r="K350">
        <f>ROUND(calls[[#This Row],[Satisfaction Rating]],0)</f>
        <v>5</v>
      </c>
    </row>
    <row r="351" spans="1:11" ht="13.8" x14ac:dyDescent="0.25">
      <c r="A351" t="s">
        <v>380</v>
      </c>
      <c r="B351" t="s">
        <v>20</v>
      </c>
      <c r="C351">
        <v>73</v>
      </c>
      <c r="D351" s="4" t="s">
        <v>18</v>
      </c>
      <c r="E351" s="5">
        <v>45029</v>
      </c>
      <c r="F351">
        <v>45</v>
      </c>
      <c r="G351">
        <v>3.6</v>
      </c>
      <c r="H351">
        <f>IF(MONTH(calls[[#This Row],[Date of Call]])&lt;=6, YEAR(calls[[#This Row],[Date of Call]]), YEAR(calls[[#This Row],[Date of Call]])+1)</f>
        <v>2023</v>
      </c>
      <c r="I351" t="str">
        <f>TEXT(calls[[#This Row],[Date of Call]],"DDDD")</f>
        <v>Thursday</v>
      </c>
      <c r="J351" t="str">
        <f t="array" ref="J351">_xlfn.IFS(calls[[#This Row],[Duration]]&lt;=10,"Under 10 mins", calls[[#This Row],[Duration]]&lt;=30, "10 to 30 mins", calls[[#This Row],[Duration]]&lt;=60, "30 to 60 mins", calls[[#This Row],[Duration]]&lt;=120, "1 to 2 hours", TRUE, "More than 2 hours")</f>
        <v>1 to 2 hours</v>
      </c>
      <c r="K351">
        <f>ROUND(calls[[#This Row],[Satisfaction Rating]],0)</f>
        <v>4</v>
      </c>
    </row>
    <row r="352" spans="1:11" ht="13.8" x14ac:dyDescent="0.25">
      <c r="A352" t="s">
        <v>381</v>
      </c>
      <c r="B352" t="s">
        <v>51</v>
      </c>
      <c r="C352">
        <v>50</v>
      </c>
      <c r="D352" s="4" t="s">
        <v>18</v>
      </c>
      <c r="E352" s="5">
        <v>45029</v>
      </c>
      <c r="F352">
        <v>105</v>
      </c>
      <c r="G352">
        <v>3.5</v>
      </c>
      <c r="H352">
        <f>IF(MONTH(calls[[#This Row],[Date of Call]])&lt;=6, YEAR(calls[[#This Row],[Date of Call]]), YEAR(calls[[#This Row],[Date of Call]])+1)</f>
        <v>2023</v>
      </c>
      <c r="I352" t="str">
        <f>TEXT(calls[[#This Row],[Date of Call]],"DDDD")</f>
        <v>Thursday</v>
      </c>
      <c r="J352" t="str">
        <f t="array" ref="J352">_xlfn.IFS(calls[[#This Row],[Duration]]&lt;=10,"Under 10 mins", calls[[#This Row],[Duration]]&lt;=30, "10 to 30 mins", calls[[#This Row],[Duration]]&lt;=60, "30 to 60 mins", calls[[#This Row],[Duration]]&lt;=120, "1 to 2 hours", TRUE, "More than 2 hours")</f>
        <v>30 to 60 mins</v>
      </c>
      <c r="K352">
        <f>ROUND(calls[[#This Row],[Satisfaction Rating]],0)</f>
        <v>4</v>
      </c>
    </row>
    <row r="353" spans="1:11" ht="13.8" x14ac:dyDescent="0.25">
      <c r="A353" t="s">
        <v>382</v>
      </c>
      <c r="B353" t="s">
        <v>22</v>
      </c>
      <c r="C353">
        <v>98</v>
      </c>
      <c r="D353" s="4" t="s">
        <v>18</v>
      </c>
      <c r="E353" s="5">
        <v>45029</v>
      </c>
      <c r="F353">
        <v>22</v>
      </c>
      <c r="G353">
        <v>3.8</v>
      </c>
      <c r="H353">
        <f>IF(MONTH(calls[[#This Row],[Date of Call]])&lt;=6, YEAR(calls[[#This Row],[Date of Call]]), YEAR(calls[[#This Row],[Date of Call]])+1)</f>
        <v>2023</v>
      </c>
      <c r="I353" t="str">
        <f>TEXT(calls[[#This Row],[Date of Call]],"DDDD")</f>
        <v>Thursday</v>
      </c>
      <c r="J353" t="str">
        <f t="array" ref="J353">_xlfn.IFS(calls[[#This Row],[Duration]]&lt;=10,"Under 10 mins", calls[[#This Row],[Duration]]&lt;=30, "10 to 30 mins", calls[[#This Row],[Duration]]&lt;=60, "30 to 60 mins", calls[[#This Row],[Duration]]&lt;=120, "1 to 2 hours", TRUE, "More than 2 hours")</f>
        <v>1 to 2 hours</v>
      </c>
      <c r="K353">
        <f>ROUND(calls[[#This Row],[Satisfaction Rating]],0)</f>
        <v>4</v>
      </c>
    </row>
    <row r="354" spans="1:11" ht="13.8" x14ac:dyDescent="0.25">
      <c r="A354" t="s">
        <v>383</v>
      </c>
      <c r="B354" t="s">
        <v>35</v>
      </c>
      <c r="C354">
        <v>114</v>
      </c>
      <c r="D354" s="4" t="s">
        <v>28</v>
      </c>
      <c r="E354" s="5">
        <v>45030</v>
      </c>
      <c r="F354">
        <v>126</v>
      </c>
      <c r="G354">
        <v>4.4000000000000004</v>
      </c>
      <c r="H354">
        <f>IF(MONTH(calls[[#This Row],[Date of Call]])&lt;=6, YEAR(calls[[#This Row],[Date of Call]]), YEAR(calls[[#This Row],[Date of Call]])+1)</f>
        <v>2023</v>
      </c>
      <c r="I354" t="str">
        <f>TEXT(calls[[#This Row],[Date of Call]],"DDDD")</f>
        <v>Friday</v>
      </c>
      <c r="J354" t="str">
        <f t="array" ref="J354">_xlfn.IFS(calls[[#This Row],[Duration]]&lt;=10,"Under 10 mins", calls[[#This Row],[Duration]]&lt;=30, "10 to 30 mins", calls[[#This Row],[Duration]]&lt;=60, "30 to 60 mins", calls[[#This Row],[Duration]]&lt;=120, "1 to 2 hours", TRUE, "More than 2 hours")</f>
        <v>1 to 2 hours</v>
      </c>
      <c r="K354">
        <f>ROUND(calls[[#This Row],[Satisfaction Rating]],0)</f>
        <v>4</v>
      </c>
    </row>
    <row r="355" spans="1:11" ht="13.8" x14ac:dyDescent="0.25">
      <c r="A355" t="s">
        <v>384</v>
      </c>
      <c r="B355" t="s">
        <v>46</v>
      </c>
      <c r="C355">
        <v>67</v>
      </c>
      <c r="D355" s="4" t="s">
        <v>28</v>
      </c>
      <c r="E355" s="5">
        <v>45030</v>
      </c>
      <c r="F355">
        <v>35</v>
      </c>
      <c r="G355">
        <v>3</v>
      </c>
      <c r="H355">
        <f>IF(MONTH(calls[[#This Row],[Date of Call]])&lt;=6, YEAR(calls[[#This Row],[Date of Call]]), YEAR(calls[[#This Row],[Date of Call]])+1)</f>
        <v>2023</v>
      </c>
      <c r="I355" t="str">
        <f>TEXT(calls[[#This Row],[Date of Call]],"DDDD")</f>
        <v>Friday</v>
      </c>
      <c r="J355" t="str">
        <f t="array" ref="J355">_xlfn.IFS(calls[[#This Row],[Duration]]&lt;=10,"Under 10 mins", calls[[#This Row],[Duration]]&lt;=30, "10 to 30 mins", calls[[#This Row],[Duration]]&lt;=60, "30 to 60 mins", calls[[#This Row],[Duration]]&lt;=120, "1 to 2 hours", TRUE, "More than 2 hours")</f>
        <v>1 to 2 hours</v>
      </c>
      <c r="K355">
        <f>ROUND(calls[[#This Row],[Satisfaction Rating]],0)</f>
        <v>3</v>
      </c>
    </row>
    <row r="356" spans="1:11" ht="13.8" x14ac:dyDescent="0.25">
      <c r="A356" t="s">
        <v>385</v>
      </c>
      <c r="B356" t="s">
        <v>17</v>
      </c>
      <c r="C356">
        <v>91</v>
      </c>
      <c r="D356" s="4" t="s">
        <v>18</v>
      </c>
      <c r="E356" s="5">
        <v>45030</v>
      </c>
      <c r="F356">
        <v>84</v>
      </c>
      <c r="G356">
        <v>4.5</v>
      </c>
      <c r="H356">
        <f>IF(MONTH(calls[[#This Row],[Date of Call]])&lt;=6, YEAR(calls[[#This Row],[Date of Call]]), YEAR(calls[[#This Row],[Date of Call]])+1)</f>
        <v>2023</v>
      </c>
      <c r="I356" t="str">
        <f>TEXT(calls[[#This Row],[Date of Call]],"DDDD")</f>
        <v>Friday</v>
      </c>
      <c r="J356" t="str">
        <f t="array" ref="J356">_xlfn.IFS(calls[[#This Row],[Duration]]&lt;=10,"Under 10 mins", calls[[#This Row],[Duration]]&lt;=30, "10 to 30 mins", calls[[#This Row],[Duration]]&lt;=60, "30 to 60 mins", calls[[#This Row],[Duration]]&lt;=120, "1 to 2 hours", TRUE, "More than 2 hours")</f>
        <v>1 to 2 hours</v>
      </c>
      <c r="K356">
        <f>ROUND(calls[[#This Row],[Satisfaction Rating]],0)</f>
        <v>5</v>
      </c>
    </row>
    <row r="357" spans="1:11" ht="13.8" x14ac:dyDescent="0.25">
      <c r="A357" t="s">
        <v>386</v>
      </c>
      <c r="B357" t="s">
        <v>84</v>
      </c>
      <c r="C357">
        <v>67</v>
      </c>
      <c r="D357" s="4" t="s">
        <v>18</v>
      </c>
      <c r="E357" s="5">
        <v>45031</v>
      </c>
      <c r="F357">
        <v>172</v>
      </c>
      <c r="G357">
        <v>4.5</v>
      </c>
      <c r="H357">
        <f>IF(MONTH(calls[[#This Row],[Date of Call]])&lt;=6, YEAR(calls[[#This Row],[Date of Call]]), YEAR(calls[[#This Row],[Date of Call]])+1)</f>
        <v>2023</v>
      </c>
      <c r="I357" t="str">
        <f>TEXT(calls[[#This Row],[Date of Call]],"DDDD")</f>
        <v>Saturday</v>
      </c>
      <c r="J357" t="str">
        <f t="array" ref="J357">_xlfn.IFS(calls[[#This Row],[Duration]]&lt;=10,"Under 10 mins", calls[[#This Row],[Duration]]&lt;=30, "10 to 30 mins", calls[[#This Row],[Duration]]&lt;=60, "30 to 60 mins", calls[[#This Row],[Duration]]&lt;=120, "1 to 2 hours", TRUE, "More than 2 hours")</f>
        <v>1 to 2 hours</v>
      </c>
      <c r="K357">
        <f>ROUND(calls[[#This Row],[Satisfaction Rating]],0)</f>
        <v>5</v>
      </c>
    </row>
    <row r="358" spans="1:11" ht="13.8" x14ac:dyDescent="0.25">
      <c r="A358" t="s">
        <v>387</v>
      </c>
      <c r="B358" t="s">
        <v>35</v>
      </c>
      <c r="C358">
        <v>139</v>
      </c>
      <c r="D358" s="4" t="s">
        <v>13</v>
      </c>
      <c r="E358" s="5">
        <v>45031</v>
      </c>
      <c r="F358">
        <v>114</v>
      </c>
      <c r="G358">
        <v>4</v>
      </c>
      <c r="H358">
        <f>IF(MONTH(calls[[#This Row],[Date of Call]])&lt;=6, YEAR(calls[[#This Row],[Date of Call]]), YEAR(calls[[#This Row],[Date of Call]])+1)</f>
        <v>2023</v>
      </c>
      <c r="I358" t="str">
        <f>TEXT(calls[[#This Row],[Date of Call]],"DDDD")</f>
        <v>Saturday</v>
      </c>
      <c r="J358" t="str">
        <f t="array" ref="J358">_xlfn.IFS(calls[[#This Row],[Duration]]&lt;=10,"Under 10 mins", calls[[#This Row],[Duration]]&lt;=30, "10 to 30 mins", calls[[#This Row],[Duration]]&lt;=60, "30 to 60 mins", calls[[#This Row],[Duration]]&lt;=120, "1 to 2 hours", TRUE, "More than 2 hours")</f>
        <v>More than 2 hours</v>
      </c>
      <c r="K358">
        <f>ROUND(calls[[#This Row],[Satisfaction Rating]],0)</f>
        <v>4</v>
      </c>
    </row>
    <row r="359" spans="1:11" ht="13.8" x14ac:dyDescent="0.25">
      <c r="A359" t="s">
        <v>388</v>
      </c>
      <c r="B359" t="s">
        <v>84</v>
      </c>
      <c r="C359">
        <v>102</v>
      </c>
      <c r="D359" s="4" t="s">
        <v>13</v>
      </c>
      <c r="E359" s="5">
        <v>45031</v>
      </c>
      <c r="F359">
        <v>60</v>
      </c>
      <c r="G359">
        <v>3.8</v>
      </c>
      <c r="H359">
        <f>IF(MONTH(calls[[#This Row],[Date of Call]])&lt;=6, YEAR(calls[[#This Row],[Date of Call]]), YEAR(calls[[#This Row],[Date of Call]])+1)</f>
        <v>2023</v>
      </c>
      <c r="I359" t="str">
        <f>TEXT(calls[[#This Row],[Date of Call]],"DDDD")</f>
        <v>Saturday</v>
      </c>
      <c r="J359" t="str">
        <f t="array" ref="J359">_xlfn.IFS(calls[[#This Row],[Duration]]&lt;=10,"Under 10 mins", calls[[#This Row],[Duration]]&lt;=30, "10 to 30 mins", calls[[#This Row],[Duration]]&lt;=60, "30 to 60 mins", calls[[#This Row],[Duration]]&lt;=120, "1 to 2 hours", TRUE, "More than 2 hours")</f>
        <v>1 to 2 hours</v>
      </c>
      <c r="K359">
        <f>ROUND(calls[[#This Row],[Satisfaction Rating]],0)</f>
        <v>4</v>
      </c>
    </row>
    <row r="360" spans="1:11" ht="13.8" x14ac:dyDescent="0.25">
      <c r="A360" t="s">
        <v>389</v>
      </c>
      <c r="B360" t="s">
        <v>64</v>
      </c>
      <c r="C360">
        <v>108</v>
      </c>
      <c r="D360" s="4" t="s">
        <v>23</v>
      </c>
      <c r="E360" s="5">
        <v>45031</v>
      </c>
      <c r="F360">
        <v>26</v>
      </c>
      <c r="G360">
        <v>3.3</v>
      </c>
      <c r="H360">
        <f>IF(MONTH(calls[[#This Row],[Date of Call]])&lt;=6, YEAR(calls[[#This Row],[Date of Call]]), YEAR(calls[[#This Row],[Date of Call]])+1)</f>
        <v>2023</v>
      </c>
      <c r="I360" t="str">
        <f>TEXT(calls[[#This Row],[Date of Call]],"DDDD")</f>
        <v>Saturday</v>
      </c>
      <c r="J360" t="str">
        <f t="array" ref="J360">_xlfn.IFS(calls[[#This Row],[Duration]]&lt;=10,"Under 10 mins", calls[[#This Row],[Duration]]&lt;=30, "10 to 30 mins", calls[[#This Row],[Duration]]&lt;=60, "30 to 60 mins", calls[[#This Row],[Duration]]&lt;=120, "1 to 2 hours", TRUE, "More than 2 hours")</f>
        <v>1 to 2 hours</v>
      </c>
      <c r="K360">
        <f>ROUND(calls[[#This Row],[Satisfaction Rating]],0)</f>
        <v>3</v>
      </c>
    </row>
    <row r="361" spans="1:11" ht="13.8" x14ac:dyDescent="0.25">
      <c r="A361" t="s">
        <v>390</v>
      </c>
      <c r="B361" t="s">
        <v>26</v>
      </c>
      <c r="C361">
        <v>66</v>
      </c>
      <c r="D361" s="4" t="s">
        <v>18</v>
      </c>
      <c r="E361" s="5">
        <v>45031</v>
      </c>
      <c r="F361">
        <v>210</v>
      </c>
      <c r="G361">
        <v>4.3</v>
      </c>
      <c r="H361">
        <f>IF(MONTH(calls[[#This Row],[Date of Call]])&lt;=6, YEAR(calls[[#This Row],[Date of Call]]), YEAR(calls[[#This Row],[Date of Call]])+1)</f>
        <v>2023</v>
      </c>
      <c r="I361" t="str">
        <f>TEXT(calls[[#This Row],[Date of Call]],"DDDD")</f>
        <v>Saturday</v>
      </c>
      <c r="J361" t="str">
        <f t="array" ref="J361">_xlfn.IFS(calls[[#This Row],[Duration]]&lt;=10,"Under 10 mins", calls[[#This Row],[Duration]]&lt;=30, "10 to 30 mins", calls[[#This Row],[Duration]]&lt;=60, "30 to 60 mins", calls[[#This Row],[Duration]]&lt;=120, "1 to 2 hours", TRUE, "More than 2 hours")</f>
        <v>1 to 2 hours</v>
      </c>
      <c r="K361">
        <f>ROUND(calls[[#This Row],[Satisfaction Rating]],0)</f>
        <v>4</v>
      </c>
    </row>
    <row r="362" spans="1:11" ht="13.8" x14ac:dyDescent="0.25">
      <c r="A362" t="s">
        <v>391</v>
      </c>
      <c r="B362" t="s">
        <v>43</v>
      </c>
      <c r="C362">
        <v>85</v>
      </c>
      <c r="D362" s="4" t="s">
        <v>13</v>
      </c>
      <c r="E362" s="5">
        <v>45031</v>
      </c>
      <c r="F362">
        <v>129</v>
      </c>
      <c r="G362">
        <v>4.2</v>
      </c>
      <c r="H362">
        <f>IF(MONTH(calls[[#This Row],[Date of Call]])&lt;=6, YEAR(calls[[#This Row],[Date of Call]]), YEAR(calls[[#This Row],[Date of Call]])+1)</f>
        <v>2023</v>
      </c>
      <c r="I362" t="str">
        <f>TEXT(calls[[#This Row],[Date of Call]],"DDDD")</f>
        <v>Saturday</v>
      </c>
      <c r="J362" t="str">
        <f t="array" ref="J362">_xlfn.IFS(calls[[#This Row],[Duration]]&lt;=10,"Under 10 mins", calls[[#This Row],[Duration]]&lt;=30, "10 to 30 mins", calls[[#This Row],[Duration]]&lt;=60, "30 to 60 mins", calls[[#This Row],[Duration]]&lt;=120, "1 to 2 hours", TRUE, "More than 2 hours")</f>
        <v>1 to 2 hours</v>
      </c>
      <c r="K362">
        <f>ROUND(calls[[#This Row],[Satisfaction Rating]],0)</f>
        <v>4</v>
      </c>
    </row>
    <row r="363" spans="1:11" ht="13.8" x14ac:dyDescent="0.25">
      <c r="A363" t="s">
        <v>392</v>
      </c>
      <c r="B363" t="s">
        <v>46</v>
      </c>
      <c r="C363">
        <v>55</v>
      </c>
      <c r="D363" s="4" t="s">
        <v>23</v>
      </c>
      <c r="E363" s="5">
        <v>45031</v>
      </c>
      <c r="F363">
        <v>215</v>
      </c>
      <c r="G363">
        <v>4.3</v>
      </c>
      <c r="H363">
        <f>IF(MONTH(calls[[#This Row],[Date of Call]])&lt;=6, YEAR(calls[[#This Row],[Date of Call]]), YEAR(calls[[#This Row],[Date of Call]])+1)</f>
        <v>2023</v>
      </c>
      <c r="I363" t="str">
        <f>TEXT(calls[[#This Row],[Date of Call]],"DDDD")</f>
        <v>Saturday</v>
      </c>
      <c r="J363" t="str">
        <f t="array" ref="J363">_xlfn.IFS(calls[[#This Row],[Duration]]&lt;=10,"Under 10 mins", calls[[#This Row],[Duration]]&lt;=30, "10 to 30 mins", calls[[#This Row],[Duration]]&lt;=60, "30 to 60 mins", calls[[#This Row],[Duration]]&lt;=120, "1 to 2 hours", TRUE, "More than 2 hours")</f>
        <v>30 to 60 mins</v>
      </c>
      <c r="K363">
        <f>ROUND(calls[[#This Row],[Satisfaction Rating]],0)</f>
        <v>4</v>
      </c>
    </row>
    <row r="364" spans="1:11" ht="13.8" x14ac:dyDescent="0.25">
      <c r="A364" t="s">
        <v>393</v>
      </c>
      <c r="B364" t="s">
        <v>64</v>
      </c>
      <c r="C364">
        <v>17</v>
      </c>
      <c r="D364" s="4" t="s">
        <v>32</v>
      </c>
      <c r="E364" s="5">
        <v>45031</v>
      </c>
      <c r="F364">
        <v>69</v>
      </c>
      <c r="G364">
        <v>4.5999999999999996</v>
      </c>
      <c r="H364">
        <f>IF(MONTH(calls[[#This Row],[Date of Call]])&lt;=6, YEAR(calls[[#This Row],[Date of Call]]), YEAR(calls[[#This Row],[Date of Call]])+1)</f>
        <v>2023</v>
      </c>
      <c r="I364" t="str">
        <f>TEXT(calls[[#This Row],[Date of Call]],"DDDD")</f>
        <v>Saturday</v>
      </c>
      <c r="J364" t="str">
        <f t="array" ref="J364">_xlfn.IFS(calls[[#This Row],[Duration]]&lt;=10,"Under 10 mins", calls[[#This Row],[Duration]]&lt;=30, "10 to 30 mins", calls[[#This Row],[Duration]]&lt;=60, "30 to 60 mins", calls[[#This Row],[Duration]]&lt;=120, "1 to 2 hours", TRUE, "More than 2 hours")</f>
        <v>10 to 30 mins</v>
      </c>
      <c r="K364">
        <f>ROUND(calls[[#This Row],[Satisfaction Rating]],0)</f>
        <v>5</v>
      </c>
    </row>
    <row r="365" spans="1:11" ht="13.8" x14ac:dyDescent="0.25">
      <c r="A365" t="s">
        <v>394</v>
      </c>
      <c r="B365" t="s">
        <v>46</v>
      </c>
      <c r="C365">
        <v>128</v>
      </c>
      <c r="D365" s="4" t="s">
        <v>32</v>
      </c>
      <c r="E365" s="5">
        <v>45031</v>
      </c>
      <c r="F365">
        <v>140</v>
      </c>
      <c r="G365">
        <v>3</v>
      </c>
      <c r="H365">
        <f>IF(MONTH(calls[[#This Row],[Date of Call]])&lt;=6, YEAR(calls[[#This Row],[Date of Call]]), YEAR(calls[[#This Row],[Date of Call]])+1)</f>
        <v>2023</v>
      </c>
      <c r="I365" t="str">
        <f>TEXT(calls[[#This Row],[Date of Call]],"DDDD")</f>
        <v>Saturday</v>
      </c>
      <c r="J365" t="str">
        <f t="array" ref="J365">_xlfn.IFS(calls[[#This Row],[Duration]]&lt;=10,"Under 10 mins", calls[[#This Row],[Duration]]&lt;=30, "10 to 30 mins", calls[[#This Row],[Duration]]&lt;=60, "30 to 60 mins", calls[[#This Row],[Duration]]&lt;=120, "1 to 2 hours", TRUE, "More than 2 hours")</f>
        <v>More than 2 hours</v>
      </c>
      <c r="K365">
        <f>ROUND(calls[[#This Row],[Satisfaction Rating]],0)</f>
        <v>3</v>
      </c>
    </row>
    <row r="366" spans="1:11" ht="13.8" x14ac:dyDescent="0.25">
      <c r="A366" t="s">
        <v>395</v>
      </c>
      <c r="B366" t="s">
        <v>51</v>
      </c>
      <c r="C366">
        <v>45</v>
      </c>
      <c r="D366" s="4" t="s">
        <v>23</v>
      </c>
      <c r="E366" s="5">
        <v>45032</v>
      </c>
      <c r="F366">
        <v>156</v>
      </c>
      <c r="G366">
        <v>2.7</v>
      </c>
      <c r="H366">
        <f>IF(MONTH(calls[[#This Row],[Date of Call]])&lt;=6, YEAR(calls[[#This Row],[Date of Call]]), YEAR(calls[[#This Row],[Date of Call]])+1)</f>
        <v>2023</v>
      </c>
      <c r="I366" t="str">
        <f>TEXT(calls[[#This Row],[Date of Call]],"DDDD")</f>
        <v>Sunday</v>
      </c>
      <c r="J366" t="str">
        <f t="array" ref="J366">_xlfn.IFS(calls[[#This Row],[Duration]]&lt;=10,"Under 10 mins", calls[[#This Row],[Duration]]&lt;=30, "10 to 30 mins", calls[[#This Row],[Duration]]&lt;=60, "30 to 60 mins", calls[[#This Row],[Duration]]&lt;=120, "1 to 2 hours", TRUE, "More than 2 hours")</f>
        <v>30 to 60 mins</v>
      </c>
      <c r="K366">
        <f>ROUND(calls[[#This Row],[Satisfaction Rating]],0)</f>
        <v>3</v>
      </c>
    </row>
    <row r="367" spans="1:11" ht="13.8" x14ac:dyDescent="0.25">
      <c r="A367" t="s">
        <v>396</v>
      </c>
      <c r="B367" t="s">
        <v>64</v>
      </c>
      <c r="C367">
        <v>41</v>
      </c>
      <c r="D367" s="4" t="s">
        <v>32</v>
      </c>
      <c r="E367" s="5">
        <v>45032</v>
      </c>
      <c r="F367">
        <v>164</v>
      </c>
      <c r="G367">
        <v>3.1</v>
      </c>
      <c r="H367">
        <f>IF(MONTH(calls[[#This Row],[Date of Call]])&lt;=6, YEAR(calls[[#This Row],[Date of Call]]), YEAR(calls[[#This Row],[Date of Call]])+1)</f>
        <v>2023</v>
      </c>
      <c r="I367" t="str">
        <f>TEXT(calls[[#This Row],[Date of Call]],"DDDD")</f>
        <v>Sunday</v>
      </c>
      <c r="J367" t="str">
        <f t="array" ref="J367">_xlfn.IFS(calls[[#This Row],[Duration]]&lt;=10,"Under 10 mins", calls[[#This Row],[Duration]]&lt;=30, "10 to 30 mins", calls[[#This Row],[Duration]]&lt;=60, "30 to 60 mins", calls[[#This Row],[Duration]]&lt;=120, "1 to 2 hours", TRUE, "More than 2 hours")</f>
        <v>30 to 60 mins</v>
      </c>
      <c r="K367">
        <f>ROUND(calls[[#This Row],[Satisfaction Rating]],0)</f>
        <v>3</v>
      </c>
    </row>
    <row r="368" spans="1:11" ht="13.8" x14ac:dyDescent="0.25">
      <c r="A368" t="s">
        <v>397</v>
      </c>
      <c r="B368" t="s">
        <v>37</v>
      </c>
      <c r="C368">
        <v>49</v>
      </c>
      <c r="D368" s="4" t="s">
        <v>32</v>
      </c>
      <c r="E368" s="5">
        <v>45032</v>
      </c>
      <c r="F368">
        <v>195</v>
      </c>
      <c r="G368">
        <v>2.6</v>
      </c>
      <c r="H368">
        <f>IF(MONTH(calls[[#This Row],[Date of Call]])&lt;=6, YEAR(calls[[#This Row],[Date of Call]]), YEAR(calls[[#This Row],[Date of Call]])+1)</f>
        <v>2023</v>
      </c>
      <c r="I368" t="str">
        <f>TEXT(calls[[#This Row],[Date of Call]],"DDDD")</f>
        <v>Sunday</v>
      </c>
      <c r="J368" t="str">
        <f t="array" ref="J368">_xlfn.IFS(calls[[#This Row],[Duration]]&lt;=10,"Under 10 mins", calls[[#This Row],[Duration]]&lt;=30, "10 to 30 mins", calls[[#This Row],[Duration]]&lt;=60, "30 to 60 mins", calls[[#This Row],[Duration]]&lt;=120, "1 to 2 hours", TRUE, "More than 2 hours")</f>
        <v>30 to 60 mins</v>
      </c>
      <c r="K368">
        <f>ROUND(calls[[#This Row],[Satisfaction Rating]],0)</f>
        <v>3</v>
      </c>
    </row>
    <row r="369" spans="1:11" ht="13.8" x14ac:dyDescent="0.25">
      <c r="A369" t="s">
        <v>398</v>
      </c>
      <c r="B369" t="s">
        <v>15</v>
      </c>
      <c r="C369">
        <v>21</v>
      </c>
      <c r="D369" s="4" t="s">
        <v>28</v>
      </c>
      <c r="E369" s="5">
        <v>45032</v>
      </c>
      <c r="F369">
        <v>74</v>
      </c>
      <c r="G369">
        <v>4.5999999999999996</v>
      </c>
      <c r="H369">
        <f>IF(MONTH(calls[[#This Row],[Date of Call]])&lt;=6, YEAR(calls[[#This Row],[Date of Call]]), YEAR(calls[[#This Row],[Date of Call]])+1)</f>
        <v>2023</v>
      </c>
      <c r="I369" t="str">
        <f>TEXT(calls[[#This Row],[Date of Call]],"DDDD")</f>
        <v>Sunday</v>
      </c>
      <c r="J369" t="str">
        <f t="array" ref="J369">_xlfn.IFS(calls[[#This Row],[Duration]]&lt;=10,"Under 10 mins", calls[[#This Row],[Duration]]&lt;=30, "10 to 30 mins", calls[[#This Row],[Duration]]&lt;=60, "30 to 60 mins", calls[[#This Row],[Duration]]&lt;=120, "1 to 2 hours", TRUE, "More than 2 hours")</f>
        <v>10 to 30 mins</v>
      </c>
      <c r="K369">
        <f>ROUND(calls[[#This Row],[Satisfaction Rating]],0)</f>
        <v>5</v>
      </c>
    </row>
    <row r="370" spans="1:11" ht="13.8" x14ac:dyDescent="0.25">
      <c r="A370" t="s">
        <v>399</v>
      </c>
      <c r="B370" t="s">
        <v>54</v>
      </c>
      <c r="C370">
        <v>133</v>
      </c>
      <c r="D370" s="4" t="s">
        <v>23</v>
      </c>
      <c r="E370" s="5">
        <v>45032</v>
      </c>
      <c r="F370">
        <v>100</v>
      </c>
      <c r="G370">
        <v>4</v>
      </c>
      <c r="H370">
        <f>IF(MONTH(calls[[#This Row],[Date of Call]])&lt;=6, YEAR(calls[[#This Row],[Date of Call]]), YEAR(calls[[#This Row],[Date of Call]])+1)</f>
        <v>2023</v>
      </c>
      <c r="I370" t="str">
        <f>TEXT(calls[[#This Row],[Date of Call]],"DDDD")</f>
        <v>Sunday</v>
      </c>
      <c r="J370" t="str">
        <f t="array" ref="J370">_xlfn.IFS(calls[[#This Row],[Duration]]&lt;=10,"Under 10 mins", calls[[#This Row],[Duration]]&lt;=30, "10 to 30 mins", calls[[#This Row],[Duration]]&lt;=60, "30 to 60 mins", calls[[#This Row],[Duration]]&lt;=120, "1 to 2 hours", TRUE, "More than 2 hours")</f>
        <v>More than 2 hours</v>
      </c>
      <c r="K370">
        <f>ROUND(calls[[#This Row],[Satisfaction Rating]],0)</f>
        <v>4</v>
      </c>
    </row>
    <row r="371" spans="1:11" ht="13.8" x14ac:dyDescent="0.25">
      <c r="A371" t="s">
        <v>400</v>
      </c>
      <c r="B371" t="s">
        <v>12</v>
      </c>
      <c r="C371">
        <v>135</v>
      </c>
      <c r="D371" s="4" t="s">
        <v>18</v>
      </c>
      <c r="E371" s="5">
        <v>45032</v>
      </c>
      <c r="F371">
        <v>185</v>
      </c>
      <c r="G371">
        <v>4.5</v>
      </c>
      <c r="H371">
        <f>IF(MONTH(calls[[#This Row],[Date of Call]])&lt;=6, YEAR(calls[[#This Row],[Date of Call]]), YEAR(calls[[#This Row],[Date of Call]])+1)</f>
        <v>2023</v>
      </c>
      <c r="I371" t="str">
        <f>TEXT(calls[[#This Row],[Date of Call]],"DDDD")</f>
        <v>Sunday</v>
      </c>
      <c r="J371" t="str">
        <f t="array" ref="J371">_xlfn.IFS(calls[[#This Row],[Duration]]&lt;=10,"Under 10 mins", calls[[#This Row],[Duration]]&lt;=30, "10 to 30 mins", calls[[#This Row],[Duration]]&lt;=60, "30 to 60 mins", calls[[#This Row],[Duration]]&lt;=120, "1 to 2 hours", TRUE, "More than 2 hours")</f>
        <v>More than 2 hours</v>
      </c>
      <c r="K371">
        <f>ROUND(calls[[#This Row],[Satisfaction Rating]],0)</f>
        <v>5</v>
      </c>
    </row>
    <row r="372" spans="1:11" ht="13.8" x14ac:dyDescent="0.25">
      <c r="A372" t="s">
        <v>401</v>
      </c>
      <c r="B372" t="s">
        <v>35</v>
      </c>
      <c r="C372">
        <v>69</v>
      </c>
      <c r="D372" s="4" t="s">
        <v>23</v>
      </c>
      <c r="E372" s="5">
        <v>45032</v>
      </c>
      <c r="F372">
        <v>130</v>
      </c>
      <c r="G372">
        <v>1.9</v>
      </c>
      <c r="H372">
        <f>IF(MONTH(calls[[#This Row],[Date of Call]])&lt;=6, YEAR(calls[[#This Row],[Date of Call]]), YEAR(calls[[#This Row],[Date of Call]])+1)</f>
        <v>2023</v>
      </c>
      <c r="I372" t="str">
        <f>TEXT(calls[[#This Row],[Date of Call]],"DDDD")</f>
        <v>Sunday</v>
      </c>
      <c r="J372" t="str">
        <f t="array" ref="J372">_xlfn.IFS(calls[[#This Row],[Duration]]&lt;=10,"Under 10 mins", calls[[#This Row],[Duration]]&lt;=30, "10 to 30 mins", calls[[#This Row],[Duration]]&lt;=60, "30 to 60 mins", calls[[#This Row],[Duration]]&lt;=120, "1 to 2 hours", TRUE, "More than 2 hours")</f>
        <v>1 to 2 hours</v>
      </c>
      <c r="K372">
        <f>ROUND(calls[[#This Row],[Satisfaction Rating]],0)</f>
        <v>2</v>
      </c>
    </row>
    <row r="373" spans="1:11" ht="13.8" x14ac:dyDescent="0.25">
      <c r="A373" t="s">
        <v>402</v>
      </c>
      <c r="B373" t="s">
        <v>31</v>
      </c>
      <c r="C373">
        <v>110</v>
      </c>
      <c r="D373" s="4" t="s">
        <v>28</v>
      </c>
      <c r="E373" s="5">
        <v>45033</v>
      </c>
      <c r="F373">
        <v>21</v>
      </c>
      <c r="G373">
        <v>2.6</v>
      </c>
      <c r="H373">
        <f>IF(MONTH(calls[[#This Row],[Date of Call]])&lt;=6, YEAR(calls[[#This Row],[Date of Call]]), YEAR(calls[[#This Row],[Date of Call]])+1)</f>
        <v>2023</v>
      </c>
      <c r="I373" t="str">
        <f>TEXT(calls[[#This Row],[Date of Call]],"DDDD")</f>
        <v>Monday</v>
      </c>
      <c r="J373" t="str">
        <f t="array" ref="J373">_xlfn.IFS(calls[[#This Row],[Duration]]&lt;=10,"Under 10 mins", calls[[#This Row],[Duration]]&lt;=30, "10 to 30 mins", calls[[#This Row],[Duration]]&lt;=60, "30 to 60 mins", calls[[#This Row],[Duration]]&lt;=120, "1 to 2 hours", TRUE, "More than 2 hours")</f>
        <v>1 to 2 hours</v>
      </c>
      <c r="K373">
        <f>ROUND(calls[[#This Row],[Satisfaction Rating]],0)</f>
        <v>3</v>
      </c>
    </row>
    <row r="374" spans="1:11" ht="13.8" x14ac:dyDescent="0.25">
      <c r="A374" t="s">
        <v>403</v>
      </c>
      <c r="B374" t="s">
        <v>84</v>
      </c>
      <c r="C374">
        <v>64</v>
      </c>
      <c r="D374" s="4" t="s">
        <v>13</v>
      </c>
      <c r="E374" s="5">
        <v>45033</v>
      </c>
      <c r="F374">
        <v>88</v>
      </c>
      <c r="G374">
        <v>4.3</v>
      </c>
      <c r="H374">
        <f>IF(MONTH(calls[[#This Row],[Date of Call]])&lt;=6, YEAR(calls[[#This Row],[Date of Call]]), YEAR(calls[[#This Row],[Date of Call]])+1)</f>
        <v>2023</v>
      </c>
      <c r="I374" t="str">
        <f>TEXT(calls[[#This Row],[Date of Call]],"DDDD")</f>
        <v>Monday</v>
      </c>
      <c r="J374" t="str">
        <f t="array" ref="J374">_xlfn.IFS(calls[[#This Row],[Duration]]&lt;=10,"Under 10 mins", calls[[#This Row],[Duration]]&lt;=30, "10 to 30 mins", calls[[#This Row],[Duration]]&lt;=60, "30 to 60 mins", calls[[#This Row],[Duration]]&lt;=120, "1 to 2 hours", TRUE, "More than 2 hours")</f>
        <v>1 to 2 hours</v>
      </c>
      <c r="K374">
        <f>ROUND(calls[[#This Row],[Satisfaction Rating]],0)</f>
        <v>4</v>
      </c>
    </row>
    <row r="375" spans="1:11" ht="13.8" x14ac:dyDescent="0.25">
      <c r="A375" t="s">
        <v>404</v>
      </c>
      <c r="B375" t="s">
        <v>17</v>
      </c>
      <c r="C375">
        <v>105</v>
      </c>
      <c r="D375" s="4" t="s">
        <v>32</v>
      </c>
      <c r="E375" s="5">
        <v>45033</v>
      </c>
      <c r="F375">
        <v>35</v>
      </c>
      <c r="G375">
        <v>4.4000000000000004</v>
      </c>
      <c r="H375">
        <f>IF(MONTH(calls[[#This Row],[Date of Call]])&lt;=6, YEAR(calls[[#This Row],[Date of Call]]), YEAR(calls[[#This Row],[Date of Call]])+1)</f>
        <v>2023</v>
      </c>
      <c r="I375" t="str">
        <f>TEXT(calls[[#This Row],[Date of Call]],"DDDD")</f>
        <v>Monday</v>
      </c>
      <c r="J375" t="str">
        <f t="array" ref="J375">_xlfn.IFS(calls[[#This Row],[Duration]]&lt;=10,"Under 10 mins", calls[[#This Row],[Duration]]&lt;=30, "10 to 30 mins", calls[[#This Row],[Duration]]&lt;=60, "30 to 60 mins", calls[[#This Row],[Duration]]&lt;=120, "1 to 2 hours", TRUE, "More than 2 hours")</f>
        <v>1 to 2 hours</v>
      </c>
      <c r="K375">
        <f>ROUND(calls[[#This Row],[Satisfaction Rating]],0)</f>
        <v>4</v>
      </c>
    </row>
    <row r="376" spans="1:11" ht="13.8" x14ac:dyDescent="0.25">
      <c r="A376" t="s">
        <v>405</v>
      </c>
      <c r="B376" t="s">
        <v>84</v>
      </c>
      <c r="C376">
        <v>165</v>
      </c>
      <c r="D376" s="4" t="s">
        <v>18</v>
      </c>
      <c r="E376" s="5">
        <v>45033</v>
      </c>
      <c r="F376">
        <v>68</v>
      </c>
      <c r="G376">
        <v>4.3</v>
      </c>
      <c r="H376">
        <f>IF(MONTH(calls[[#This Row],[Date of Call]])&lt;=6, YEAR(calls[[#This Row],[Date of Call]]), YEAR(calls[[#This Row],[Date of Call]])+1)</f>
        <v>2023</v>
      </c>
      <c r="I376" t="str">
        <f>TEXT(calls[[#This Row],[Date of Call]],"DDDD")</f>
        <v>Monday</v>
      </c>
      <c r="J376" t="str">
        <f t="array" ref="J376">_xlfn.IFS(calls[[#This Row],[Duration]]&lt;=10,"Under 10 mins", calls[[#This Row],[Duration]]&lt;=30, "10 to 30 mins", calls[[#This Row],[Duration]]&lt;=60, "30 to 60 mins", calls[[#This Row],[Duration]]&lt;=120, "1 to 2 hours", TRUE, "More than 2 hours")</f>
        <v>More than 2 hours</v>
      </c>
      <c r="K376">
        <f>ROUND(calls[[#This Row],[Satisfaction Rating]],0)</f>
        <v>4</v>
      </c>
    </row>
    <row r="377" spans="1:11" ht="13.8" x14ac:dyDescent="0.25">
      <c r="A377" t="s">
        <v>406</v>
      </c>
      <c r="B377" t="s">
        <v>51</v>
      </c>
      <c r="C377">
        <v>125</v>
      </c>
      <c r="D377" s="4" t="s">
        <v>18</v>
      </c>
      <c r="E377" s="5">
        <v>45033</v>
      </c>
      <c r="F377">
        <v>148</v>
      </c>
      <c r="G377">
        <v>4.5</v>
      </c>
      <c r="H377">
        <f>IF(MONTH(calls[[#This Row],[Date of Call]])&lt;=6, YEAR(calls[[#This Row],[Date of Call]]), YEAR(calls[[#This Row],[Date of Call]])+1)</f>
        <v>2023</v>
      </c>
      <c r="I377" t="str">
        <f>TEXT(calls[[#This Row],[Date of Call]],"DDDD")</f>
        <v>Monday</v>
      </c>
      <c r="J377" t="str">
        <f t="array" ref="J377">_xlfn.IFS(calls[[#This Row],[Duration]]&lt;=10,"Under 10 mins", calls[[#This Row],[Duration]]&lt;=30, "10 to 30 mins", calls[[#This Row],[Duration]]&lt;=60, "30 to 60 mins", calls[[#This Row],[Duration]]&lt;=120, "1 to 2 hours", TRUE, "More than 2 hours")</f>
        <v>More than 2 hours</v>
      </c>
      <c r="K377">
        <f>ROUND(calls[[#This Row],[Satisfaction Rating]],0)</f>
        <v>5</v>
      </c>
    </row>
    <row r="378" spans="1:11" ht="13.8" x14ac:dyDescent="0.25">
      <c r="A378" t="s">
        <v>407</v>
      </c>
      <c r="B378" t="s">
        <v>17</v>
      </c>
      <c r="C378">
        <v>88</v>
      </c>
      <c r="D378" s="4" t="s">
        <v>13</v>
      </c>
      <c r="E378" s="5">
        <v>45034</v>
      </c>
      <c r="F378">
        <v>81</v>
      </c>
      <c r="G378">
        <v>4.2</v>
      </c>
      <c r="H378">
        <f>IF(MONTH(calls[[#This Row],[Date of Call]])&lt;=6, YEAR(calls[[#This Row],[Date of Call]]), YEAR(calls[[#This Row],[Date of Call]])+1)</f>
        <v>2023</v>
      </c>
      <c r="I378" t="str">
        <f>TEXT(calls[[#This Row],[Date of Call]],"DDDD")</f>
        <v>Tuesday</v>
      </c>
      <c r="J378" t="str">
        <f t="array" ref="J378">_xlfn.IFS(calls[[#This Row],[Duration]]&lt;=10,"Under 10 mins", calls[[#This Row],[Duration]]&lt;=30, "10 to 30 mins", calls[[#This Row],[Duration]]&lt;=60, "30 to 60 mins", calls[[#This Row],[Duration]]&lt;=120, "1 to 2 hours", TRUE, "More than 2 hours")</f>
        <v>1 to 2 hours</v>
      </c>
      <c r="K378">
        <f>ROUND(calls[[#This Row],[Satisfaction Rating]],0)</f>
        <v>4</v>
      </c>
    </row>
    <row r="379" spans="1:11" ht="13.8" x14ac:dyDescent="0.25">
      <c r="A379" t="s">
        <v>408</v>
      </c>
      <c r="B379" t="s">
        <v>35</v>
      </c>
      <c r="C379">
        <v>6</v>
      </c>
      <c r="D379" s="4" t="s">
        <v>13</v>
      </c>
      <c r="E379" s="5">
        <v>45034</v>
      </c>
      <c r="F379">
        <v>75</v>
      </c>
      <c r="G379">
        <v>3.9</v>
      </c>
      <c r="H379">
        <f>IF(MONTH(calls[[#This Row],[Date of Call]])&lt;=6, YEAR(calls[[#This Row],[Date of Call]]), YEAR(calls[[#This Row],[Date of Call]])+1)</f>
        <v>2023</v>
      </c>
      <c r="I379" t="str">
        <f>TEXT(calls[[#This Row],[Date of Call]],"DDDD")</f>
        <v>Tuesday</v>
      </c>
      <c r="J379" t="str">
        <f t="array" ref="J379">_xlfn.IFS(calls[[#This Row],[Duration]]&lt;=10,"Under 10 mins", calls[[#This Row],[Duration]]&lt;=30, "10 to 30 mins", calls[[#This Row],[Duration]]&lt;=60, "30 to 60 mins", calls[[#This Row],[Duration]]&lt;=120, "1 to 2 hours", TRUE, "More than 2 hours")</f>
        <v>Under 10 mins</v>
      </c>
      <c r="K379">
        <f>ROUND(calls[[#This Row],[Satisfaction Rating]],0)</f>
        <v>4</v>
      </c>
    </row>
    <row r="380" spans="1:11" ht="13.8" x14ac:dyDescent="0.25">
      <c r="A380" t="s">
        <v>409</v>
      </c>
      <c r="B380" t="s">
        <v>43</v>
      </c>
      <c r="C380">
        <v>69</v>
      </c>
      <c r="D380" s="4" t="s">
        <v>23</v>
      </c>
      <c r="E380" s="5">
        <v>45035</v>
      </c>
      <c r="F380">
        <v>32</v>
      </c>
      <c r="G380">
        <v>3.6</v>
      </c>
      <c r="H380">
        <f>IF(MONTH(calls[[#This Row],[Date of Call]])&lt;=6, YEAR(calls[[#This Row],[Date of Call]]), YEAR(calls[[#This Row],[Date of Call]])+1)</f>
        <v>2023</v>
      </c>
      <c r="I380" t="str">
        <f>TEXT(calls[[#This Row],[Date of Call]],"DDDD")</f>
        <v>Wednesday</v>
      </c>
      <c r="J380" t="str">
        <f t="array" ref="J380">_xlfn.IFS(calls[[#This Row],[Duration]]&lt;=10,"Under 10 mins", calls[[#This Row],[Duration]]&lt;=30, "10 to 30 mins", calls[[#This Row],[Duration]]&lt;=60, "30 to 60 mins", calls[[#This Row],[Duration]]&lt;=120, "1 to 2 hours", TRUE, "More than 2 hours")</f>
        <v>1 to 2 hours</v>
      </c>
      <c r="K380">
        <f>ROUND(calls[[#This Row],[Satisfaction Rating]],0)</f>
        <v>4</v>
      </c>
    </row>
    <row r="381" spans="1:11" ht="13.8" x14ac:dyDescent="0.25">
      <c r="A381" t="s">
        <v>410</v>
      </c>
      <c r="B381" t="s">
        <v>64</v>
      </c>
      <c r="C381">
        <v>107</v>
      </c>
      <c r="D381" s="4" t="s">
        <v>23</v>
      </c>
      <c r="E381" s="5">
        <v>45035</v>
      </c>
      <c r="F381">
        <v>156</v>
      </c>
      <c r="G381">
        <v>3.8</v>
      </c>
      <c r="H381">
        <f>IF(MONTH(calls[[#This Row],[Date of Call]])&lt;=6, YEAR(calls[[#This Row],[Date of Call]]), YEAR(calls[[#This Row],[Date of Call]])+1)</f>
        <v>2023</v>
      </c>
      <c r="I381" t="str">
        <f>TEXT(calls[[#This Row],[Date of Call]],"DDDD")</f>
        <v>Wednesday</v>
      </c>
      <c r="J381" t="str">
        <f t="array" ref="J381">_xlfn.IFS(calls[[#This Row],[Duration]]&lt;=10,"Under 10 mins", calls[[#This Row],[Duration]]&lt;=30, "10 to 30 mins", calls[[#This Row],[Duration]]&lt;=60, "30 to 60 mins", calls[[#This Row],[Duration]]&lt;=120, "1 to 2 hours", TRUE, "More than 2 hours")</f>
        <v>1 to 2 hours</v>
      </c>
      <c r="K381">
        <f>ROUND(calls[[#This Row],[Satisfaction Rating]],0)</f>
        <v>4</v>
      </c>
    </row>
    <row r="382" spans="1:11" ht="13.8" x14ac:dyDescent="0.25">
      <c r="A382" t="s">
        <v>411</v>
      </c>
      <c r="B382" t="s">
        <v>15</v>
      </c>
      <c r="C382">
        <v>90</v>
      </c>
      <c r="D382" s="4" t="s">
        <v>18</v>
      </c>
      <c r="E382" s="5">
        <v>45035</v>
      </c>
      <c r="F382">
        <v>99</v>
      </c>
      <c r="G382">
        <v>4.9000000000000004</v>
      </c>
      <c r="H382">
        <f>IF(MONTH(calls[[#This Row],[Date of Call]])&lt;=6, YEAR(calls[[#This Row],[Date of Call]]), YEAR(calls[[#This Row],[Date of Call]])+1)</f>
        <v>2023</v>
      </c>
      <c r="I382" t="str">
        <f>TEXT(calls[[#This Row],[Date of Call]],"DDDD")</f>
        <v>Wednesday</v>
      </c>
      <c r="J382" t="str">
        <f t="array" ref="J382">_xlfn.IFS(calls[[#This Row],[Duration]]&lt;=10,"Under 10 mins", calls[[#This Row],[Duration]]&lt;=30, "10 to 30 mins", calls[[#This Row],[Duration]]&lt;=60, "30 to 60 mins", calls[[#This Row],[Duration]]&lt;=120, "1 to 2 hours", TRUE, "More than 2 hours")</f>
        <v>1 to 2 hours</v>
      </c>
      <c r="K382">
        <f>ROUND(calls[[#This Row],[Satisfaction Rating]],0)</f>
        <v>5</v>
      </c>
    </row>
    <row r="383" spans="1:11" ht="13.8" x14ac:dyDescent="0.25">
      <c r="A383" t="s">
        <v>412</v>
      </c>
      <c r="B383" t="s">
        <v>12</v>
      </c>
      <c r="C383">
        <v>120</v>
      </c>
      <c r="D383" s="4" t="s">
        <v>32</v>
      </c>
      <c r="E383" s="5">
        <v>45035</v>
      </c>
      <c r="F383">
        <v>26</v>
      </c>
      <c r="G383">
        <v>4</v>
      </c>
      <c r="H383">
        <f>IF(MONTH(calls[[#This Row],[Date of Call]])&lt;=6, YEAR(calls[[#This Row],[Date of Call]]), YEAR(calls[[#This Row],[Date of Call]])+1)</f>
        <v>2023</v>
      </c>
      <c r="I383" t="str">
        <f>TEXT(calls[[#This Row],[Date of Call]],"DDDD")</f>
        <v>Wednesday</v>
      </c>
      <c r="J383" t="str">
        <f t="array" ref="J383">_xlfn.IFS(calls[[#This Row],[Duration]]&lt;=10,"Under 10 mins", calls[[#This Row],[Duration]]&lt;=30, "10 to 30 mins", calls[[#This Row],[Duration]]&lt;=60, "30 to 60 mins", calls[[#This Row],[Duration]]&lt;=120, "1 to 2 hours", TRUE, "More than 2 hours")</f>
        <v>1 to 2 hours</v>
      </c>
      <c r="K383">
        <f>ROUND(calls[[#This Row],[Satisfaction Rating]],0)</f>
        <v>4</v>
      </c>
    </row>
    <row r="384" spans="1:11" ht="13.8" x14ac:dyDescent="0.25">
      <c r="A384" t="s">
        <v>413</v>
      </c>
      <c r="B384" t="s">
        <v>22</v>
      </c>
      <c r="C384">
        <v>47</v>
      </c>
      <c r="D384" s="4" t="s">
        <v>23</v>
      </c>
      <c r="E384" s="5">
        <v>45035</v>
      </c>
      <c r="F384">
        <v>84</v>
      </c>
      <c r="G384">
        <v>4.0999999999999996</v>
      </c>
      <c r="H384">
        <f>IF(MONTH(calls[[#This Row],[Date of Call]])&lt;=6, YEAR(calls[[#This Row],[Date of Call]]), YEAR(calls[[#This Row],[Date of Call]])+1)</f>
        <v>2023</v>
      </c>
      <c r="I384" t="str">
        <f>TEXT(calls[[#This Row],[Date of Call]],"DDDD")</f>
        <v>Wednesday</v>
      </c>
      <c r="J384" t="str">
        <f t="array" ref="J384">_xlfn.IFS(calls[[#This Row],[Duration]]&lt;=10,"Under 10 mins", calls[[#This Row],[Duration]]&lt;=30, "10 to 30 mins", calls[[#This Row],[Duration]]&lt;=60, "30 to 60 mins", calls[[#This Row],[Duration]]&lt;=120, "1 to 2 hours", TRUE, "More than 2 hours")</f>
        <v>30 to 60 mins</v>
      </c>
      <c r="K384">
        <f>ROUND(calls[[#This Row],[Satisfaction Rating]],0)</f>
        <v>4</v>
      </c>
    </row>
    <row r="385" spans="1:11" ht="13.8" x14ac:dyDescent="0.25">
      <c r="A385" t="s">
        <v>414</v>
      </c>
      <c r="B385" t="s">
        <v>20</v>
      </c>
      <c r="C385">
        <v>60</v>
      </c>
      <c r="D385" s="4" t="s">
        <v>32</v>
      </c>
      <c r="E385" s="5">
        <v>45035</v>
      </c>
      <c r="F385">
        <v>84</v>
      </c>
      <c r="G385">
        <v>4.8</v>
      </c>
      <c r="H385">
        <f>IF(MONTH(calls[[#This Row],[Date of Call]])&lt;=6, YEAR(calls[[#This Row],[Date of Call]]), YEAR(calls[[#This Row],[Date of Call]])+1)</f>
        <v>2023</v>
      </c>
      <c r="I385" t="str">
        <f>TEXT(calls[[#This Row],[Date of Call]],"DDDD")</f>
        <v>Wednesday</v>
      </c>
      <c r="J385" t="str">
        <f t="array" ref="J385">_xlfn.IFS(calls[[#This Row],[Duration]]&lt;=10,"Under 10 mins", calls[[#This Row],[Duration]]&lt;=30, "10 to 30 mins", calls[[#This Row],[Duration]]&lt;=60, "30 to 60 mins", calls[[#This Row],[Duration]]&lt;=120, "1 to 2 hours", TRUE, "More than 2 hours")</f>
        <v>30 to 60 mins</v>
      </c>
      <c r="K385">
        <f>ROUND(calls[[#This Row],[Satisfaction Rating]],0)</f>
        <v>5</v>
      </c>
    </row>
    <row r="386" spans="1:11" ht="13.8" x14ac:dyDescent="0.25">
      <c r="A386" t="s">
        <v>415</v>
      </c>
      <c r="B386" t="s">
        <v>46</v>
      </c>
      <c r="C386">
        <v>64</v>
      </c>
      <c r="D386" s="4" t="s">
        <v>18</v>
      </c>
      <c r="E386" s="5">
        <v>45035</v>
      </c>
      <c r="F386">
        <v>170</v>
      </c>
      <c r="G386">
        <v>2.2999999999999998</v>
      </c>
      <c r="H386">
        <f>IF(MONTH(calls[[#This Row],[Date of Call]])&lt;=6, YEAR(calls[[#This Row],[Date of Call]]), YEAR(calls[[#This Row],[Date of Call]])+1)</f>
        <v>2023</v>
      </c>
      <c r="I386" t="str">
        <f>TEXT(calls[[#This Row],[Date of Call]],"DDDD")</f>
        <v>Wednesday</v>
      </c>
      <c r="J386" t="str">
        <f t="array" ref="J386">_xlfn.IFS(calls[[#This Row],[Duration]]&lt;=10,"Under 10 mins", calls[[#This Row],[Duration]]&lt;=30, "10 to 30 mins", calls[[#This Row],[Duration]]&lt;=60, "30 to 60 mins", calls[[#This Row],[Duration]]&lt;=120, "1 to 2 hours", TRUE, "More than 2 hours")</f>
        <v>1 to 2 hours</v>
      </c>
      <c r="K386">
        <f>ROUND(calls[[#This Row],[Satisfaction Rating]],0)</f>
        <v>2</v>
      </c>
    </row>
    <row r="387" spans="1:11" ht="13.8" x14ac:dyDescent="0.25">
      <c r="A387" t="s">
        <v>416</v>
      </c>
      <c r="B387" t="s">
        <v>84</v>
      </c>
      <c r="C387">
        <v>62</v>
      </c>
      <c r="D387" s="4" t="s">
        <v>23</v>
      </c>
      <c r="E387" s="5">
        <v>45035</v>
      </c>
      <c r="F387">
        <v>35</v>
      </c>
      <c r="G387">
        <v>4.4000000000000004</v>
      </c>
      <c r="H387">
        <f>IF(MONTH(calls[[#This Row],[Date of Call]])&lt;=6, YEAR(calls[[#This Row],[Date of Call]]), YEAR(calls[[#This Row],[Date of Call]])+1)</f>
        <v>2023</v>
      </c>
      <c r="I387" t="str">
        <f>TEXT(calls[[#This Row],[Date of Call]],"DDDD")</f>
        <v>Wednesday</v>
      </c>
      <c r="J387" t="str">
        <f t="array" ref="J387">_xlfn.IFS(calls[[#This Row],[Duration]]&lt;=10,"Under 10 mins", calls[[#This Row],[Duration]]&lt;=30, "10 to 30 mins", calls[[#This Row],[Duration]]&lt;=60, "30 to 60 mins", calls[[#This Row],[Duration]]&lt;=120, "1 to 2 hours", TRUE, "More than 2 hours")</f>
        <v>1 to 2 hours</v>
      </c>
      <c r="K387">
        <f>ROUND(calls[[#This Row],[Satisfaction Rating]],0)</f>
        <v>4</v>
      </c>
    </row>
    <row r="388" spans="1:11" ht="13.8" x14ac:dyDescent="0.25">
      <c r="A388" t="s">
        <v>417</v>
      </c>
      <c r="B388" t="s">
        <v>31</v>
      </c>
      <c r="C388">
        <v>88</v>
      </c>
      <c r="D388" s="4" t="s">
        <v>23</v>
      </c>
      <c r="E388" s="5">
        <v>45036</v>
      </c>
      <c r="F388">
        <v>35</v>
      </c>
      <c r="G388">
        <v>3.8</v>
      </c>
      <c r="H388">
        <f>IF(MONTH(calls[[#This Row],[Date of Call]])&lt;=6, YEAR(calls[[#This Row],[Date of Call]]), YEAR(calls[[#This Row],[Date of Call]])+1)</f>
        <v>2023</v>
      </c>
      <c r="I388" t="str">
        <f>TEXT(calls[[#This Row],[Date of Call]],"DDDD")</f>
        <v>Thursday</v>
      </c>
      <c r="J388" t="str">
        <f t="array" ref="J388">_xlfn.IFS(calls[[#This Row],[Duration]]&lt;=10,"Under 10 mins", calls[[#This Row],[Duration]]&lt;=30, "10 to 30 mins", calls[[#This Row],[Duration]]&lt;=60, "30 to 60 mins", calls[[#This Row],[Duration]]&lt;=120, "1 to 2 hours", TRUE, "More than 2 hours")</f>
        <v>1 to 2 hours</v>
      </c>
      <c r="K388">
        <f>ROUND(calls[[#This Row],[Satisfaction Rating]],0)</f>
        <v>4</v>
      </c>
    </row>
    <row r="389" spans="1:11" ht="13.8" x14ac:dyDescent="0.25">
      <c r="A389" t="s">
        <v>418</v>
      </c>
      <c r="B389" t="s">
        <v>51</v>
      </c>
      <c r="C389">
        <v>116</v>
      </c>
      <c r="D389" s="4" t="s">
        <v>23</v>
      </c>
      <c r="E389" s="5">
        <v>45036</v>
      </c>
      <c r="F389">
        <v>132</v>
      </c>
      <c r="G389">
        <v>5</v>
      </c>
      <c r="H389">
        <f>IF(MONTH(calls[[#This Row],[Date of Call]])&lt;=6, YEAR(calls[[#This Row],[Date of Call]]), YEAR(calls[[#This Row],[Date of Call]])+1)</f>
        <v>2023</v>
      </c>
      <c r="I389" t="str">
        <f>TEXT(calls[[#This Row],[Date of Call]],"DDDD")</f>
        <v>Thursday</v>
      </c>
      <c r="J389" t="str">
        <f t="array" ref="J389">_xlfn.IFS(calls[[#This Row],[Duration]]&lt;=10,"Under 10 mins", calls[[#This Row],[Duration]]&lt;=30, "10 to 30 mins", calls[[#This Row],[Duration]]&lt;=60, "30 to 60 mins", calls[[#This Row],[Duration]]&lt;=120, "1 to 2 hours", TRUE, "More than 2 hours")</f>
        <v>1 to 2 hours</v>
      </c>
      <c r="K389">
        <f>ROUND(calls[[#This Row],[Satisfaction Rating]],0)</f>
        <v>5</v>
      </c>
    </row>
    <row r="390" spans="1:11" ht="13.8" x14ac:dyDescent="0.25">
      <c r="A390" t="s">
        <v>419</v>
      </c>
      <c r="B390" t="s">
        <v>15</v>
      </c>
      <c r="C390">
        <v>82</v>
      </c>
      <c r="D390" s="4" t="s">
        <v>13</v>
      </c>
      <c r="E390" s="5">
        <v>45037</v>
      </c>
      <c r="F390">
        <v>144</v>
      </c>
      <c r="G390">
        <v>3.3</v>
      </c>
      <c r="H390">
        <f>IF(MONTH(calls[[#This Row],[Date of Call]])&lt;=6, YEAR(calls[[#This Row],[Date of Call]]), YEAR(calls[[#This Row],[Date of Call]])+1)</f>
        <v>2023</v>
      </c>
      <c r="I390" t="str">
        <f>TEXT(calls[[#This Row],[Date of Call]],"DDDD")</f>
        <v>Friday</v>
      </c>
      <c r="J390" t="str">
        <f t="array" ref="J390">_xlfn.IFS(calls[[#This Row],[Duration]]&lt;=10,"Under 10 mins", calls[[#This Row],[Duration]]&lt;=30, "10 to 30 mins", calls[[#This Row],[Duration]]&lt;=60, "30 to 60 mins", calls[[#This Row],[Duration]]&lt;=120, "1 to 2 hours", TRUE, "More than 2 hours")</f>
        <v>1 to 2 hours</v>
      </c>
      <c r="K390">
        <f>ROUND(calls[[#This Row],[Satisfaction Rating]],0)</f>
        <v>3</v>
      </c>
    </row>
    <row r="391" spans="1:11" ht="13.8" x14ac:dyDescent="0.25">
      <c r="A391" t="s">
        <v>420</v>
      </c>
      <c r="B391" t="s">
        <v>84</v>
      </c>
      <c r="C391">
        <v>99</v>
      </c>
      <c r="D391" s="4" t="s">
        <v>18</v>
      </c>
      <c r="E391" s="5">
        <v>45037</v>
      </c>
      <c r="F391">
        <v>48</v>
      </c>
      <c r="G391">
        <v>5</v>
      </c>
      <c r="H391">
        <f>IF(MONTH(calls[[#This Row],[Date of Call]])&lt;=6, YEAR(calls[[#This Row],[Date of Call]]), YEAR(calls[[#This Row],[Date of Call]])+1)</f>
        <v>2023</v>
      </c>
      <c r="I391" t="str">
        <f>TEXT(calls[[#This Row],[Date of Call]],"DDDD")</f>
        <v>Friday</v>
      </c>
      <c r="J391" t="str">
        <f t="array" ref="J391">_xlfn.IFS(calls[[#This Row],[Duration]]&lt;=10,"Under 10 mins", calls[[#This Row],[Duration]]&lt;=30, "10 to 30 mins", calls[[#This Row],[Duration]]&lt;=60, "30 to 60 mins", calls[[#This Row],[Duration]]&lt;=120, "1 to 2 hours", TRUE, "More than 2 hours")</f>
        <v>1 to 2 hours</v>
      </c>
      <c r="K391">
        <f>ROUND(calls[[#This Row],[Satisfaction Rating]],0)</f>
        <v>5</v>
      </c>
    </row>
    <row r="392" spans="1:11" ht="13.8" x14ac:dyDescent="0.25">
      <c r="A392" t="s">
        <v>421</v>
      </c>
      <c r="B392" t="s">
        <v>84</v>
      </c>
      <c r="C392">
        <v>55</v>
      </c>
      <c r="D392" s="4" t="s">
        <v>13</v>
      </c>
      <c r="E392" s="5">
        <v>45037</v>
      </c>
      <c r="F392">
        <v>200</v>
      </c>
      <c r="G392">
        <v>2.2999999999999998</v>
      </c>
      <c r="H392">
        <f>IF(MONTH(calls[[#This Row],[Date of Call]])&lt;=6, YEAR(calls[[#This Row],[Date of Call]]), YEAR(calls[[#This Row],[Date of Call]])+1)</f>
        <v>2023</v>
      </c>
      <c r="I392" t="str">
        <f>TEXT(calls[[#This Row],[Date of Call]],"DDDD")</f>
        <v>Friday</v>
      </c>
      <c r="J392" t="str">
        <f t="array" ref="J392">_xlfn.IFS(calls[[#This Row],[Duration]]&lt;=10,"Under 10 mins", calls[[#This Row],[Duration]]&lt;=30, "10 to 30 mins", calls[[#This Row],[Duration]]&lt;=60, "30 to 60 mins", calls[[#This Row],[Duration]]&lt;=120, "1 to 2 hours", TRUE, "More than 2 hours")</f>
        <v>30 to 60 mins</v>
      </c>
      <c r="K392">
        <f>ROUND(calls[[#This Row],[Satisfaction Rating]],0)</f>
        <v>2</v>
      </c>
    </row>
    <row r="393" spans="1:11" ht="13.8" x14ac:dyDescent="0.25">
      <c r="A393" t="s">
        <v>422</v>
      </c>
      <c r="B393" t="s">
        <v>46</v>
      </c>
      <c r="C393">
        <v>61</v>
      </c>
      <c r="D393" s="4" t="s">
        <v>32</v>
      </c>
      <c r="E393" s="5">
        <v>45037</v>
      </c>
      <c r="F393">
        <v>38</v>
      </c>
      <c r="G393">
        <v>4.8</v>
      </c>
      <c r="H393">
        <f>IF(MONTH(calls[[#This Row],[Date of Call]])&lt;=6, YEAR(calls[[#This Row],[Date of Call]]), YEAR(calls[[#This Row],[Date of Call]])+1)</f>
        <v>2023</v>
      </c>
      <c r="I393" t="str">
        <f>TEXT(calls[[#This Row],[Date of Call]],"DDDD")</f>
        <v>Friday</v>
      </c>
      <c r="J393" t="str">
        <f t="array" ref="J393">_xlfn.IFS(calls[[#This Row],[Duration]]&lt;=10,"Under 10 mins", calls[[#This Row],[Duration]]&lt;=30, "10 to 30 mins", calls[[#This Row],[Duration]]&lt;=60, "30 to 60 mins", calls[[#This Row],[Duration]]&lt;=120, "1 to 2 hours", TRUE, "More than 2 hours")</f>
        <v>1 to 2 hours</v>
      </c>
      <c r="K393">
        <f>ROUND(calls[[#This Row],[Satisfaction Rating]],0)</f>
        <v>5</v>
      </c>
    </row>
    <row r="394" spans="1:11" ht="13.8" x14ac:dyDescent="0.25">
      <c r="A394" t="s">
        <v>423</v>
      </c>
      <c r="B394" t="s">
        <v>51</v>
      </c>
      <c r="C394">
        <v>36</v>
      </c>
      <c r="D394" s="4" t="s">
        <v>28</v>
      </c>
      <c r="E394" s="5">
        <v>45037</v>
      </c>
      <c r="F394">
        <v>81</v>
      </c>
      <c r="G394">
        <v>3.7</v>
      </c>
      <c r="H394">
        <f>IF(MONTH(calls[[#This Row],[Date of Call]])&lt;=6, YEAR(calls[[#This Row],[Date of Call]]), YEAR(calls[[#This Row],[Date of Call]])+1)</f>
        <v>2023</v>
      </c>
      <c r="I394" t="str">
        <f>TEXT(calls[[#This Row],[Date of Call]],"DDDD")</f>
        <v>Friday</v>
      </c>
      <c r="J394" t="str">
        <f t="array" ref="J394">_xlfn.IFS(calls[[#This Row],[Duration]]&lt;=10,"Under 10 mins", calls[[#This Row],[Duration]]&lt;=30, "10 to 30 mins", calls[[#This Row],[Duration]]&lt;=60, "30 to 60 mins", calls[[#This Row],[Duration]]&lt;=120, "1 to 2 hours", TRUE, "More than 2 hours")</f>
        <v>30 to 60 mins</v>
      </c>
      <c r="K394">
        <f>ROUND(calls[[#This Row],[Satisfaction Rating]],0)</f>
        <v>4</v>
      </c>
    </row>
    <row r="395" spans="1:11" ht="13.8" x14ac:dyDescent="0.25">
      <c r="A395" t="s">
        <v>424</v>
      </c>
      <c r="B395" t="s">
        <v>15</v>
      </c>
      <c r="C395">
        <v>123</v>
      </c>
      <c r="D395" s="4" t="s">
        <v>23</v>
      </c>
      <c r="E395" s="5">
        <v>45037</v>
      </c>
      <c r="F395">
        <v>120</v>
      </c>
      <c r="G395">
        <v>4.2</v>
      </c>
      <c r="H395">
        <f>IF(MONTH(calls[[#This Row],[Date of Call]])&lt;=6, YEAR(calls[[#This Row],[Date of Call]]), YEAR(calls[[#This Row],[Date of Call]])+1)</f>
        <v>2023</v>
      </c>
      <c r="I395" t="str">
        <f>TEXT(calls[[#This Row],[Date of Call]],"DDDD")</f>
        <v>Friday</v>
      </c>
      <c r="J395" t="str">
        <f t="array" ref="J395">_xlfn.IFS(calls[[#This Row],[Duration]]&lt;=10,"Under 10 mins", calls[[#This Row],[Duration]]&lt;=30, "10 to 30 mins", calls[[#This Row],[Duration]]&lt;=60, "30 to 60 mins", calls[[#This Row],[Duration]]&lt;=120, "1 to 2 hours", TRUE, "More than 2 hours")</f>
        <v>More than 2 hours</v>
      </c>
      <c r="K395">
        <f>ROUND(calls[[#This Row],[Satisfaction Rating]],0)</f>
        <v>4</v>
      </c>
    </row>
    <row r="396" spans="1:11" ht="13.8" x14ac:dyDescent="0.25">
      <c r="A396" t="s">
        <v>425</v>
      </c>
      <c r="B396" t="s">
        <v>37</v>
      </c>
      <c r="C396">
        <v>24</v>
      </c>
      <c r="D396" s="4" t="s">
        <v>32</v>
      </c>
      <c r="E396" s="5">
        <v>45037</v>
      </c>
      <c r="F396">
        <v>74</v>
      </c>
      <c r="G396">
        <v>4.8</v>
      </c>
      <c r="H396">
        <f>IF(MONTH(calls[[#This Row],[Date of Call]])&lt;=6, YEAR(calls[[#This Row],[Date of Call]]), YEAR(calls[[#This Row],[Date of Call]])+1)</f>
        <v>2023</v>
      </c>
      <c r="I396" t="str">
        <f>TEXT(calls[[#This Row],[Date of Call]],"DDDD")</f>
        <v>Friday</v>
      </c>
      <c r="J396" t="str">
        <f t="array" ref="J396">_xlfn.IFS(calls[[#This Row],[Duration]]&lt;=10,"Under 10 mins", calls[[#This Row],[Duration]]&lt;=30, "10 to 30 mins", calls[[#This Row],[Duration]]&lt;=60, "30 to 60 mins", calls[[#This Row],[Duration]]&lt;=120, "1 to 2 hours", TRUE, "More than 2 hours")</f>
        <v>10 to 30 mins</v>
      </c>
      <c r="K396">
        <f>ROUND(calls[[#This Row],[Satisfaction Rating]],0)</f>
        <v>5</v>
      </c>
    </row>
    <row r="397" spans="1:11" ht="13.8" x14ac:dyDescent="0.25">
      <c r="A397" t="s">
        <v>426</v>
      </c>
      <c r="B397" t="s">
        <v>15</v>
      </c>
      <c r="C397">
        <v>43</v>
      </c>
      <c r="D397" s="4" t="s">
        <v>23</v>
      </c>
      <c r="E397" s="5">
        <v>45038</v>
      </c>
      <c r="F397">
        <v>128</v>
      </c>
      <c r="G397">
        <v>4.7</v>
      </c>
      <c r="H397">
        <f>IF(MONTH(calls[[#This Row],[Date of Call]])&lt;=6, YEAR(calls[[#This Row],[Date of Call]]), YEAR(calls[[#This Row],[Date of Call]])+1)</f>
        <v>2023</v>
      </c>
      <c r="I397" t="str">
        <f>TEXT(calls[[#This Row],[Date of Call]],"DDDD")</f>
        <v>Saturday</v>
      </c>
      <c r="J397" t="str">
        <f t="array" ref="J397">_xlfn.IFS(calls[[#This Row],[Duration]]&lt;=10,"Under 10 mins", calls[[#This Row],[Duration]]&lt;=30, "10 to 30 mins", calls[[#This Row],[Duration]]&lt;=60, "30 to 60 mins", calls[[#This Row],[Duration]]&lt;=120, "1 to 2 hours", TRUE, "More than 2 hours")</f>
        <v>30 to 60 mins</v>
      </c>
      <c r="K397">
        <f>ROUND(calls[[#This Row],[Satisfaction Rating]],0)</f>
        <v>5</v>
      </c>
    </row>
    <row r="398" spans="1:11" ht="13.8" x14ac:dyDescent="0.25">
      <c r="A398" t="s">
        <v>427</v>
      </c>
      <c r="B398" t="s">
        <v>20</v>
      </c>
      <c r="C398">
        <v>95</v>
      </c>
      <c r="D398" s="4" t="s">
        <v>18</v>
      </c>
      <c r="E398" s="5">
        <v>45038</v>
      </c>
      <c r="F398">
        <v>21</v>
      </c>
      <c r="G398">
        <v>3.9</v>
      </c>
      <c r="H398">
        <f>IF(MONTH(calls[[#This Row],[Date of Call]])&lt;=6, YEAR(calls[[#This Row],[Date of Call]]), YEAR(calls[[#This Row],[Date of Call]])+1)</f>
        <v>2023</v>
      </c>
      <c r="I398" t="str">
        <f>TEXT(calls[[#This Row],[Date of Call]],"DDDD")</f>
        <v>Saturday</v>
      </c>
      <c r="J398" t="str">
        <f t="array" ref="J398">_xlfn.IFS(calls[[#This Row],[Duration]]&lt;=10,"Under 10 mins", calls[[#This Row],[Duration]]&lt;=30, "10 to 30 mins", calls[[#This Row],[Duration]]&lt;=60, "30 to 60 mins", calls[[#This Row],[Duration]]&lt;=120, "1 to 2 hours", TRUE, "More than 2 hours")</f>
        <v>1 to 2 hours</v>
      </c>
      <c r="K398">
        <f>ROUND(calls[[#This Row],[Satisfaction Rating]],0)</f>
        <v>4</v>
      </c>
    </row>
    <row r="399" spans="1:11" ht="13.8" x14ac:dyDescent="0.25">
      <c r="A399" t="s">
        <v>428</v>
      </c>
      <c r="B399" t="s">
        <v>84</v>
      </c>
      <c r="C399">
        <v>53</v>
      </c>
      <c r="D399" s="4" t="s">
        <v>23</v>
      </c>
      <c r="E399" s="5">
        <v>45038</v>
      </c>
      <c r="F399">
        <v>110</v>
      </c>
      <c r="G399">
        <v>4.3</v>
      </c>
      <c r="H399">
        <f>IF(MONTH(calls[[#This Row],[Date of Call]])&lt;=6, YEAR(calls[[#This Row],[Date of Call]]), YEAR(calls[[#This Row],[Date of Call]])+1)</f>
        <v>2023</v>
      </c>
      <c r="I399" t="str">
        <f>TEXT(calls[[#This Row],[Date of Call]],"DDDD")</f>
        <v>Saturday</v>
      </c>
      <c r="J399" t="str">
        <f t="array" ref="J399">_xlfn.IFS(calls[[#This Row],[Duration]]&lt;=10,"Under 10 mins", calls[[#This Row],[Duration]]&lt;=30, "10 to 30 mins", calls[[#This Row],[Duration]]&lt;=60, "30 to 60 mins", calls[[#This Row],[Duration]]&lt;=120, "1 to 2 hours", TRUE, "More than 2 hours")</f>
        <v>30 to 60 mins</v>
      </c>
      <c r="K399">
        <f>ROUND(calls[[#This Row],[Satisfaction Rating]],0)</f>
        <v>4</v>
      </c>
    </row>
    <row r="400" spans="1:11" ht="13.8" x14ac:dyDescent="0.25">
      <c r="A400" t="s">
        <v>429</v>
      </c>
      <c r="B400" t="s">
        <v>15</v>
      </c>
      <c r="C400">
        <v>113</v>
      </c>
      <c r="D400" s="4" t="s">
        <v>23</v>
      </c>
      <c r="E400" s="5">
        <v>45038</v>
      </c>
      <c r="F400">
        <v>145</v>
      </c>
      <c r="G400">
        <v>4</v>
      </c>
      <c r="H400">
        <f>IF(MONTH(calls[[#This Row],[Date of Call]])&lt;=6, YEAR(calls[[#This Row],[Date of Call]]), YEAR(calls[[#This Row],[Date of Call]])+1)</f>
        <v>2023</v>
      </c>
      <c r="I400" t="str">
        <f>TEXT(calls[[#This Row],[Date of Call]],"DDDD")</f>
        <v>Saturday</v>
      </c>
      <c r="J400" t="str">
        <f t="array" ref="J400">_xlfn.IFS(calls[[#This Row],[Duration]]&lt;=10,"Under 10 mins", calls[[#This Row],[Duration]]&lt;=30, "10 to 30 mins", calls[[#This Row],[Duration]]&lt;=60, "30 to 60 mins", calls[[#This Row],[Duration]]&lt;=120, "1 to 2 hours", TRUE, "More than 2 hours")</f>
        <v>1 to 2 hours</v>
      </c>
      <c r="K400">
        <f>ROUND(calls[[#This Row],[Satisfaction Rating]],0)</f>
        <v>4</v>
      </c>
    </row>
    <row r="401" spans="1:11" ht="13.8" x14ac:dyDescent="0.25">
      <c r="A401" t="s">
        <v>430</v>
      </c>
      <c r="B401" t="s">
        <v>84</v>
      </c>
      <c r="C401">
        <v>89</v>
      </c>
      <c r="D401" s="4" t="s">
        <v>28</v>
      </c>
      <c r="E401" s="5">
        <v>45038</v>
      </c>
      <c r="F401">
        <v>129</v>
      </c>
      <c r="G401">
        <v>4</v>
      </c>
      <c r="H401">
        <f>IF(MONTH(calls[[#This Row],[Date of Call]])&lt;=6, YEAR(calls[[#This Row],[Date of Call]]), YEAR(calls[[#This Row],[Date of Call]])+1)</f>
        <v>2023</v>
      </c>
      <c r="I401" t="str">
        <f>TEXT(calls[[#This Row],[Date of Call]],"DDDD")</f>
        <v>Saturday</v>
      </c>
      <c r="J401" t="str">
        <f t="array" ref="J401">_xlfn.IFS(calls[[#This Row],[Duration]]&lt;=10,"Under 10 mins", calls[[#This Row],[Duration]]&lt;=30, "10 to 30 mins", calls[[#This Row],[Duration]]&lt;=60, "30 to 60 mins", calls[[#This Row],[Duration]]&lt;=120, "1 to 2 hours", TRUE, "More than 2 hours")</f>
        <v>1 to 2 hours</v>
      </c>
      <c r="K401">
        <f>ROUND(calls[[#This Row],[Satisfaction Rating]],0)</f>
        <v>4</v>
      </c>
    </row>
    <row r="402" spans="1:11" ht="13.8" x14ac:dyDescent="0.25">
      <c r="A402" t="s">
        <v>431</v>
      </c>
      <c r="B402" t="s">
        <v>31</v>
      </c>
      <c r="C402">
        <v>84</v>
      </c>
      <c r="D402" s="4" t="s">
        <v>13</v>
      </c>
      <c r="E402" s="5">
        <v>45038</v>
      </c>
      <c r="F402">
        <v>156</v>
      </c>
      <c r="G402">
        <v>3.2</v>
      </c>
      <c r="H402">
        <f>IF(MONTH(calls[[#This Row],[Date of Call]])&lt;=6, YEAR(calls[[#This Row],[Date of Call]]), YEAR(calls[[#This Row],[Date of Call]])+1)</f>
        <v>2023</v>
      </c>
      <c r="I402" t="str">
        <f>TEXT(calls[[#This Row],[Date of Call]],"DDDD")</f>
        <v>Saturday</v>
      </c>
      <c r="J402" t="str">
        <f t="array" ref="J402">_xlfn.IFS(calls[[#This Row],[Duration]]&lt;=10,"Under 10 mins", calls[[#This Row],[Duration]]&lt;=30, "10 to 30 mins", calls[[#This Row],[Duration]]&lt;=60, "30 to 60 mins", calls[[#This Row],[Duration]]&lt;=120, "1 to 2 hours", TRUE, "More than 2 hours")</f>
        <v>1 to 2 hours</v>
      </c>
      <c r="K402">
        <f>ROUND(calls[[#This Row],[Satisfaction Rating]],0)</f>
        <v>3</v>
      </c>
    </row>
    <row r="403" spans="1:11" ht="13.8" x14ac:dyDescent="0.25">
      <c r="A403" t="s">
        <v>432</v>
      </c>
      <c r="B403" t="s">
        <v>37</v>
      </c>
      <c r="C403">
        <v>130</v>
      </c>
      <c r="D403" s="4" t="s">
        <v>23</v>
      </c>
      <c r="E403" s="5">
        <v>45039</v>
      </c>
      <c r="F403">
        <v>120</v>
      </c>
      <c r="G403">
        <v>3.8</v>
      </c>
      <c r="H403">
        <f>IF(MONTH(calls[[#This Row],[Date of Call]])&lt;=6, YEAR(calls[[#This Row],[Date of Call]]), YEAR(calls[[#This Row],[Date of Call]])+1)</f>
        <v>2023</v>
      </c>
      <c r="I403" t="str">
        <f>TEXT(calls[[#This Row],[Date of Call]],"DDDD")</f>
        <v>Sunday</v>
      </c>
      <c r="J403" t="str">
        <f t="array" ref="J403">_xlfn.IFS(calls[[#This Row],[Duration]]&lt;=10,"Under 10 mins", calls[[#This Row],[Duration]]&lt;=30, "10 to 30 mins", calls[[#This Row],[Duration]]&lt;=60, "30 to 60 mins", calls[[#This Row],[Duration]]&lt;=120, "1 to 2 hours", TRUE, "More than 2 hours")</f>
        <v>More than 2 hours</v>
      </c>
      <c r="K403">
        <f>ROUND(calls[[#This Row],[Satisfaction Rating]],0)</f>
        <v>4</v>
      </c>
    </row>
    <row r="404" spans="1:11" ht="13.8" x14ac:dyDescent="0.25">
      <c r="A404" t="s">
        <v>433</v>
      </c>
      <c r="B404" t="s">
        <v>20</v>
      </c>
      <c r="C404">
        <v>163</v>
      </c>
      <c r="D404" s="4" t="s">
        <v>28</v>
      </c>
      <c r="E404" s="5">
        <v>45039</v>
      </c>
      <c r="F404">
        <v>62</v>
      </c>
      <c r="G404">
        <v>3.4</v>
      </c>
      <c r="H404">
        <f>IF(MONTH(calls[[#This Row],[Date of Call]])&lt;=6, YEAR(calls[[#This Row],[Date of Call]]), YEAR(calls[[#This Row],[Date of Call]])+1)</f>
        <v>2023</v>
      </c>
      <c r="I404" t="str">
        <f>TEXT(calls[[#This Row],[Date of Call]],"DDDD")</f>
        <v>Sunday</v>
      </c>
      <c r="J404" t="str">
        <f t="array" ref="J404">_xlfn.IFS(calls[[#This Row],[Duration]]&lt;=10,"Under 10 mins", calls[[#This Row],[Duration]]&lt;=30, "10 to 30 mins", calls[[#This Row],[Duration]]&lt;=60, "30 to 60 mins", calls[[#This Row],[Duration]]&lt;=120, "1 to 2 hours", TRUE, "More than 2 hours")</f>
        <v>More than 2 hours</v>
      </c>
      <c r="K404">
        <f>ROUND(calls[[#This Row],[Satisfaction Rating]],0)</f>
        <v>3</v>
      </c>
    </row>
    <row r="405" spans="1:11" ht="13.8" x14ac:dyDescent="0.25">
      <c r="A405" t="s">
        <v>434</v>
      </c>
      <c r="B405" t="s">
        <v>43</v>
      </c>
      <c r="C405">
        <v>127</v>
      </c>
      <c r="D405" s="4" t="s">
        <v>23</v>
      </c>
      <c r="E405" s="5">
        <v>45039</v>
      </c>
      <c r="F405">
        <v>160</v>
      </c>
      <c r="G405">
        <v>3.2</v>
      </c>
      <c r="H405">
        <f>IF(MONTH(calls[[#This Row],[Date of Call]])&lt;=6, YEAR(calls[[#This Row],[Date of Call]]), YEAR(calls[[#This Row],[Date of Call]])+1)</f>
        <v>2023</v>
      </c>
      <c r="I405" t="str">
        <f>TEXT(calls[[#This Row],[Date of Call]],"DDDD")</f>
        <v>Sunday</v>
      </c>
      <c r="J405" t="str">
        <f t="array" ref="J405">_xlfn.IFS(calls[[#This Row],[Duration]]&lt;=10,"Under 10 mins", calls[[#This Row],[Duration]]&lt;=30, "10 to 30 mins", calls[[#This Row],[Duration]]&lt;=60, "30 to 60 mins", calls[[#This Row],[Duration]]&lt;=120, "1 to 2 hours", TRUE, "More than 2 hours")</f>
        <v>More than 2 hours</v>
      </c>
      <c r="K405">
        <f>ROUND(calls[[#This Row],[Satisfaction Rating]],0)</f>
        <v>3</v>
      </c>
    </row>
    <row r="406" spans="1:11" ht="13.8" x14ac:dyDescent="0.25">
      <c r="A406" t="s">
        <v>435</v>
      </c>
      <c r="B406" t="s">
        <v>15</v>
      </c>
      <c r="C406">
        <v>50</v>
      </c>
      <c r="D406" s="4" t="s">
        <v>23</v>
      </c>
      <c r="E406" s="5">
        <v>45039</v>
      </c>
      <c r="F406">
        <v>56</v>
      </c>
      <c r="G406">
        <v>4.7</v>
      </c>
      <c r="H406">
        <f>IF(MONTH(calls[[#This Row],[Date of Call]])&lt;=6, YEAR(calls[[#This Row],[Date of Call]]), YEAR(calls[[#This Row],[Date of Call]])+1)</f>
        <v>2023</v>
      </c>
      <c r="I406" t="str">
        <f>TEXT(calls[[#This Row],[Date of Call]],"DDDD")</f>
        <v>Sunday</v>
      </c>
      <c r="J406" t="str">
        <f t="array" ref="J406">_xlfn.IFS(calls[[#This Row],[Duration]]&lt;=10,"Under 10 mins", calls[[#This Row],[Duration]]&lt;=30, "10 to 30 mins", calls[[#This Row],[Duration]]&lt;=60, "30 to 60 mins", calls[[#This Row],[Duration]]&lt;=120, "1 to 2 hours", TRUE, "More than 2 hours")</f>
        <v>30 to 60 mins</v>
      </c>
      <c r="K406">
        <f>ROUND(calls[[#This Row],[Satisfaction Rating]],0)</f>
        <v>5</v>
      </c>
    </row>
    <row r="407" spans="1:11" ht="13.8" x14ac:dyDescent="0.25">
      <c r="A407" t="s">
        <v>436</v>
      </c>
      <c r="B407" t="s">
        <v>26</v>
      </c>
      <c r="C407">
        <v>88</v>
      </c>
      <c r="D407" s="4" t="s">
        <v>32</v>
      </c>
      <c r="E407" s="5">
        <v>45039</v>
      </c>
      <c r="F407">
        <v>72</v>
      </c>
      <c r="G407">
        <v>4</v>
      </c>
      <c r="H407">
        <f>IF(MONTH(calls[[#This Row],[Date of Call]])&lt;=6, YEAR(calls[[#This Row],[Date of Call]]), YEAR(calls[[#This Row],[Date of Call]])+1)</f>
        <v>2023</v>
      </c>
      <c r="I407" t="str">
        <f>TEXT(calls[[#This Row],[Date of Call]],"DDDD")</f>
        <v>Sunday</v>
      </c>
      <c r="J407" t="str">
        <f t="array" ref="J407">_xlfn.IFS(calls[[#This Row],[Duration]]&lt;=10,"Under 10 mins", calls[[#This Row],[Duration]]&lt;=30, "10 to 30 mins", calls[[#This Row],[Duration]]&lt;=60, "30 to 60 mins", calls[[#This Row],[Duration]]&lt;=120, "1 to 2 hours", TRUE, "More than 2 hours")</f>
        <v>1 to 2 hours</v>
      </c>
      <c r="K407">
        <f>ROUND(calls[[#This Row],[Satisfaction Rating]],0)</f>
        <v>4</v>
      </c>
    </row>
    <row r="408" spans="1:11" ht="13.8" x14ac:dyDescent="0.25">
      <c r="A408" t="s">
        <v>437</v>
      </c>
      <c r="B408" t="s">
        <v>15</v>
      </c>
      <c r="C408">
        <v>139</v>
      </c>
      <c r="D408" s="4" t="s">
        <v>18</v>
      </c>
      <c r="E408" s="5">
        <v>45040</v>
      </c>
      <c r="F408">
        <v>81</v>
      </c>
      <c r="G408">
        <v>4.8</v>
      </c>
      <c r="H408">
        <f>IF(MONTH(calls[[#This Row],[Date of Call]])&lt;=6, YEAR(calls[[#This Row],[Date of Call]]), YEAR(calls[[#This Row],[Date of Call]])+1)</f>
        <v>2023</v>
      </c>
      <c r="I408" t="str">
        <f>TEXT(calls[[#This Row],[Date of Call]],"DDDD")</f>
        <v>Monday</v>
      </c>
      <c r="J408" t="str">
        <f t="array" ref="J408">_xlfn.IFS(calls[[#This Row],[Duration]]&lt;=10,"Under 10 mins", calls[[#This Row],[Duration]]&lt;=30, "10 to 30 mins", calls[[#This Row],[Duration]]&lt;=60, "30 to 60 mins", calls[[#This Row],[Duration]]&lt;=120, "1 to 2 hours", TRUE, "More than 2 hours")</f>
        <v>More than 2 hours</v>
      </c>
      <c r="K408">
        <f>ROUND(calls[[#This Row],[Satisfaction Rating]],0)</f>
        <v>5</v>
      </c>
    </row>
    <row r="409" spans="1:11" ht="13.8" x14ac:dyDescent="0.25">
      <c r="A409" t="s">
        <v>438</v>
      </c>
      <c r="B409" t="s">
        <v>20</v>
      </c>
      <c r="C409">
        <v>111</v>
      </c>
      <c r="D409" s="4" t="s">
        <v>23</v>
      </c>
      <c r="E409" s="5">
        <v>45040</v>
      </c>
      <c r="F409">
        <v>144</v>
      </c>
      <c r="G409">
        <v>3.9</v>
      </c>
      <c r="H409">
        <f>IF(MONTH(calls[[#This Row],[Date of Call]])&lt;=6, YEAR(calls[[#This Row],[Date of Call]]), YEAR(calls[[#This Row],[Date of Call]])+1)</f>
        <v>2023</v>
      </c>
      <c r="I409" t="str">
        <f>TEXT(calls[[#This Row],[Date of Call]],"DDDD")</f>
        <v>Monday</v>
      </c>
      <c r="J409" t="str">
        <f t="array" ref="J409">_xlfn.IFS(calls[[#This Row],[Duration]]&lt;=10,"Under 10 mins", calls[[#This Row],[Duration]]&lt;=30, "10 to 30 mins", calls[[#This Row],[Duration]]&lt;=60, "30 to 60 mins", calls[[#This Row],[Duration]]&lt;=120, "1 to 2 hours", TRUE, "More than 2 hours")</f>
        <v>1 to 2 hours</v>
      </c>
      <c r="K409">
        <f>ROUND(calls[[#This Row],[Satisfaction Rating]],0)</f>
        <v>4</v>
      </c>
    </row>
    <row r="410" spans="1:11" ht="13.8" x14ac:dyDescent="0.25">
      <c r="A410" t="s">
        <v>439</v>
      </c>
      <c r="B410" t="s">
        <v>17</v>
      </c>
      <c r="C410">
        <v>115</v>
      </c>
      <c r="D410" s="4" t="s">
        <v>18</v>
      </c>
      <c r="E410" s="5">
        <v>45040</v>
      </c>
      <c r="F410">
        <v>111</v>
      </c>
      <c r="G410">
        <v>4.3</v>
      </c>
      <c r="H410">
        <f>IF(MONTH(calls[[#This Row],[Date of Call]])&lt;=6, YEAR(calls[[#This Row],[Date of Call]]), YEAR(calls[[#This Row],[Date of Call]])+1)</f>
        <v>2023</v>
      </c>
      <c r="I410" t="str">
        <f>TEXT(calls[[#This Row],[Date of Call]],"DDDD")</f>
        <v>Monday</v>
      </c>
      <c r="J410" t="str">
        <f t="array" ref="J410">_xlfn.IFS(calls[[#This Row],[Duration]]&lt;=10,"Under 10 mins", calls[[#This Row],[Duration]]&lt;=30, "10 to 30 mins", calls[[#This Row],[Duration]]&lt;=60, "30 to 60 mins", calls[[#This Row],[Duration]]&lt;=120, "1 to 2 hours", TRUE, "More than 2 hours")</f>
        <v>1 to 2 hours</v>
      </c>
      <c r="K410">
        <f>ROUND(calls[[#This Row],[Satisfaction Rating]],0)</f>
        <v>4</v>
      </c>
    </row>
    <row r="411" spans="1:11" ht="13.8" x14ac:dyDescent="0.25">
      <c r="A411" t="s">
        <v>440</v>
      </c>
      <c r="B411" t="s">
        <v>84</v>
      </c>
      <c r="C411">
        <v>26</v>
      </c>
      <c r="D411" s="4" t="s">
        <v>28</v>
      </c>
      <c r="E411" s="5">
        <v>45040</v>
      </c>
      <c r="F411">
        <v>43</v>
      </c>
      <c r="G411">
        <v>4.2</v>
      </c>
      <c r="H411">
        <f>IF(MONTH(calls[[#This Row],[Date of Call]])&lt;=6, YEAR(calls[[#This Row],[Date of Call]]), YEAR(calls[[#This Row],[Date of Call]])+1)</f>
        <v>2023</v>
      </c>
      <c r="I411" t="str">
        <f>TEXT(calls[[#This Row],[Date of Call]],"DDDD")</f>
        <v>Monday</v>
      </c>
      <c r="J411" t="str">
        <f t="array" ref="J411">_xlfn.IFS(calls[[#This Row],[Duration]]&lt;=10,"Under 10 mins", calls[[#This Row],[Duration]]&lt;=30, "10 to 30 mins", calls[[#This Row],[Duration]]&lt;=60, "30 to 60 mins", calls[[#This Row],[Duration]]&lt;=120, "1 to 2 hours", TRUE, "More than 2 hours")</f>
        <v>10 to 30 mins</v>
      </c>
      <c r="K411">
        <f>ROUND(calls[[#This Row],[Satisfaction Rating]],0)</f>
        <v>4</v>
      </c>
    </row>
    <row r="412" spans="1:11" ht="13.8" x14ac:dyDescent="0.25">
      <c r="A412" t="s">
        <v>441</v>
      </c>
      <c r="B412" t="s">
        <v>31</v>
      </c>
      <c r="C412">
        <v>131</v>
      </c>
      <c r="D412" s="4" t="s">
        <v>32</v>
      </c>
      <c r="E412" s="5">
        <v>45040</v>
      </c>
      <c r="F412">
        <v>41</v>
      </c>
      <c r="G412">
        <v>4.9000000000000004</v>
      </c>
      <c r="H412">
        <f>IF(MONTH(calls[[#This Row],[Date of Call]])&lt;=6, YEAR(calls[[#This Row],[Date of Call]]), YEAR(calls[[#This Row],[Date of Call]])+1)</f>
        <v>2023</v>
      </c>
      <c r="I412" t="str">
        <f>TEXT(calls[[#This Row],[Date of Call]],"DDDD")</f>
        <v>Monday</v>
      </c>
      <c r="J412" t="str">
        <f t="array" ref="J412">_xlfn.IFS(calls[[#This Row],[Duration]]&lt;=10,"Under 10 mins", calls[[#This Row],[Duration]]&lt;=30, "10 to 30 mins", calls[[#This Row],[Duration]]&lt;=60, "30 to 60 mins", calls[[#This Row],[Duration]]&lt;=120, "1 to 2 hours", TRUE, "More than 2 hours")</f>
        <v>More than 2 hours</v>
      </c>
      <c r="K412">
        <f>ROUND(calls[[#This Row],[Satisfaction Rating]],0)</f>
        <v>5</v>
      </c>
    </row>
    <row r="413" spans="1:11" ht="13.8" x14ac:dyDescent="0.25">
      <c r="A413" t="s">
        <v>442</v>
      </c>
      <c r="B413" t="s">
        <v>17</v>
      </c>
      <c r="C413">
        <v>27</v>
      </c>
      <c r="D413" s="4" t="s">
        <v>32</v>
      </c>
      <c r="E413" s="5">
        <v>45040</v>
      </c>
      <c r="F413">
        <v>74</v>
      </c>
      <c r="G413">
        <v>4</v>
      </c>
      <c r="H413">
        <f>IF(MONTH(calls[[#This Row],[Date of Call]])&lt;=6, YEAR(calls[[#This Row],[Date of Call]]), YEAR(calls[[#This Row],[Date of Call]])+1)</f>
        <v>2023</v>
      </c>
      <c r="I413" t="str">
        <f>TEXT(calls[[#This Row],[Date of Call]],"DDDD")</f>
        <v>Monday</v>
      </c>
      <c r="J413" t="str">
        <f t="array" ref="J413">_xlfn.IFS(calls[[#This Row],[Duration]]&lt;=10,"Under 10 mins", calls[[#This Row],[Duration]]&lt;=30, "10 to 30 mins", calls[[#This Row],[Duration]]&lt;=60, "30 to 60 mins", calls[[#This Row],[Duration]]&lt;=120, "1 to 2 hours", TRUE, "More than 2 hours")</f>
        <v>10 to 30 mins</v>
      </c>
      <c r="K413">
        <f>ROUND(calls[[#This Row],[Satisfaction Rating]],0)</f>
        <v>4</v>
      </c>
    </row>
    <row r="414" spans="1:11" ht="13.8" x14ac:dyDescent="0.25">
      <c r="A414" t="s">
        <v>443</v>
      </c>
      <c r="B414" t="s">
        <v>54</v>
      </c>
      <c r="C414">
        <v>75</v>
      </c>
      <c r="D414" s="4" t="s">
        <v>23</v>
      </c>
      <c r="E414" s="5">
        <v>45040</v>
      </c>
      <c r="F414">
        <v>43</v>
      </c>
      <c r="G414">
        <v>4.9000000000000004</v>
      </c>
      <c r="H414">
        <f>IF(MONTH(calls[[#This Row],[Date of Call]])&lt;=6, YEAR(calls[[#This Row],[Date of Call]]), YEAR(calls[[#This Row],[Date of Call]])+1)</f>
        <v>2023</v>
      </c>
      <c r="I414" t="str">
        <f>TEXT(calls[[#This Row],[Date of Call]],"DDDD")</f>
        <v>Monday</v>
      </c>
      <c r="J414" t="str">
        <f t="array" ref="J414">_xlfn.IFS(calls[[#This Row],[Duration]]&lt;=10,"Under 10 mins", calls[[#This Row],[Duration]]&lt;=30, "10 to 30 mins", calls[[#This Row],[Duration]]&lt;=60, "30 to 60 mins", calls[[#This Row],[Duration]]&lt;=120, "1 to 2 hours", TRUE, "More than 2 hours")</f>
        <v>1 to 2 hours</v>
      </c>
      <c r="K414">
        <f>ROUND(calls[[#This Row],[Satisfaction Rating]],0)</f>
        <v>5</v>
      </c>
    </row>
    <row r="415" spans="1:11" ht="13.8" x14ac:dyDescent="0.25">
      <c r="A415" t="s">
        <v>444</v>
      </c>
      <c r="B415" t="s">
        <v>46</v>
      </c>
      <c r="C415">
        <v>123</v>
      </c>
      <c r="D415" s="4" t="s">
        <v>32</v>
      </c>
      <c r="E415" s="5">
        <v>45040</v>
      </c>
      <c r="F415">
        <v>128</v>
      </c>
      <c r="G415">
        <v>3.6</v>
      </c>
      <c r="H415">
        <f>IF(MONTH(calls[[#This Row],[Date of Call]])&lt;=6, YEAR(calls[[#This Row],[Date of Call]]), YEAR(calls[[#This Row],[Date of Call]])+1)</f>
        <v>2023</v>
      </c>
      <c r="I415" t="str">
        <f>TEXT(calls[[#This Row],[Date of Call]],"DDDD")</f>
        <v>Monday</v>
      </c>
      <c r="J415" t="str">
        <f t="array" ref="J415">_xlfn.IFS(calls[[#This Row],[Duration]]&lt;=10,"Under 10 mins", calls[[#This Row],[Duration]]&lt;=30, "10 to 30 mins", calls[[#This Row],[Duration]]&lt;=60, "30 to 60 mins", calls[[#This Row],[Duration]]&lt;=120, "1 to 2 hours", TRUE, "More than 2 hours")</f>
        <v>More than 2 hours</v>
      </c>
      <c r="K415">
        <f>ROUND(calls[[#This Row],[Satisfaction Rating]],0)</f>
        <v>4</v>
      </c>
    </row>
    <row r="416" spans="1:11" ht="13.8" x14ac:dyDescent="0.25">
      <c r="A416" t="s">
        <v>445</v>
      </c>
      <c r="B416" t="s">
        <v>12</v>
      </c>
      <c r="C416">
        <v>129</v>
      </c>
      <c r="D416" s="4" t="s">
        <v>32</v>
      </c>
      <c r="E416" s="5">
        <v>45041</v>
      </c>
      <c r="F416">
        <v>144</v>
      </c>
      <c r="G416">
        <v>4.0999999999999996</v>
      </c>
      <c r="H416">
        <f>IF(MONTH(calls[[#This Row],[Date of Call]])&lt;=6, YEAR(calls[[#This Row],[Date of Call]]), YEAR(calls[[#This Row],[Date of Call]])+1)</f>
        <v>2023</v>
      </c>
      <c r="I416" t="str">
        <f>TEXT(calls[[#This Row],[Date of Call]],"DDDD")</f>
        <v>Tuesday</v>
      </c>
      <c r="J416" t="str">
        <f t="array" ref="J416">_xlfn.IFS(calls[[#This Row],[Duration]]&lt;=10,"Under 10 mins", calls[[#This Row],[Duration]]&lt;=30, "10 to 30 mins", calls[[#This Row],[Duration]]&lt;=60, "30 to 60 mins", calls[[#This Row],[Duration]]&lt;=120, "1 to 2 hours", TRUE, "More than 2 hours")</f>
        <v>More than 2 hours</v>
      </c>
      <c r="K416">
        <f>ROUND(calls[[#This Row],[Satisfaction Rating]],0)</f>
        <v>4</v>
      </c>
    </row>
    <row r="417" spans="1:11" ht="13.8" x14ac:dyDescent="0.25">
      <c r="A417" t="s">
        <v>446</v>
      </c>
      <c r="B417" t="s">
        <v>54</v>
      </c>
      <c r="C417">
        <v>124</v>
      </c>
      <c r="D417" s="4" t="s">
        <v>18</v>
      </c>
      <c r="E417" s="5">
        <v>45041</v>
      </c>
      <c r="F417">
        <v>132</v>
      </c>
      <c r="G417">
        <v>4.9000000000000004</v>
      </c>
      <c r="H417">
        <f>IF(MONTH(calls[[#This Row],[Date of Call]])&lt;=6, YEAR(calls[[#This Row],[Date of Call]]), YEAR(calls[[#This Row],[Date of Call]])+1)</f>
        <v>2023</v>
      </c>
      <c r="I417" t="str">
        <f>TEXT(calls[[#This Row],[Date of Call]],"DDDD")</f>
        <v>Tuesday</v>
      </c>
      <c r="J417" t="str">
        <f t="array" ref="J417">_xlfn.IFS(calls[[#This Row],[Duration]]&lt;=10,"Under 10 mins", calls[[#This Row],[Duration]]&lt;=30, "10 to 30 mins", calls[[#This Row],[Duration]]&lt;=60, "30 to 60 mins", calls[[#This Row],[Duration]]&lt;=120, "1 to 2 hours", TRUE, "More than 2 hours")</f>
        <v>More than 2 hours</v>
      </c>
      <c r="K417">
        <f>ROUND(calls[[#This Row],[Satisfaction Rating]],0)</f>
        <v>5</v>
      </c>
    </row>
    <row r="418" spans="1:11" ht="13.8" x14ac:dyDescent="0.25">
      <c r="A418" t="s">
        <v>447</v>
      </c>
      <c r="B418" t="s">
        <v>17</v>
      </c>
      <c r="C418">
        <v>108</v>
      </c>
      <c r="D418" s="4" t="s">
        <v>18</v>
      </c>
      <c r="E418" s="5">
        <v>45041</v>
      </c>
      <c r="F418">
        <v>180</v>
      </c>
      <c r="G418">
        <v>3.9</v>
      </c>
      <c r="H418">
        <f>IF(MONTH(calls[[#This Row],[Date of Call]])&lt;=6, YEAR(calls[[#This Row],[Date of Call]]), YEAR(calls[[#This Row],[Date of Call]])+1)</f>
        <v>2023</v>
      </c>
      <c r="I418" t="str">
        <f>TEXT(calls[[#This Row],[Date of Call]],"DDDD")</f>
        <v>Tuesday</v>
      </c>
      <c r="J418" t="str">
        <f t="array" ref="J418">_xlfn.IFS(calls[[#This Row],[Duration]]&lt;=10,"Under 10 mins", calls[[#This Row],[Duration]]&lt;=30, "10 to 30 mins", calls[[#This Row],[Duration]]&lt;=60, "30 to 60 mins", calls[[#This Row],[Duration]]&lt;=120, "1 to 2 hours", TRUE, "More than 2 hours")</f>
        <v>1 to 2 hours</v>
      </c>
      <c r="K418">
        <f>ROUND(calls[[#This Row],[Satisfaction Rating]],0)</f>
        <v>4</v>
      </c>
    </row>
    <row r="419" spans="1:11" ht="13.8" x14ac:dyDescent="0.25">
      <c r="A419" t="s">
        <v>448</v>
      </c>
      <c r="B419" t="s">
        <v>22</v>
      </c>
      <c r="C419">
        <v>15</v>
      </c>
      <c r="D419" s="4" t="s">
        <v>18</v>
      </c>
      <c r="E419" s="5">
        <v>45041</v>
      </c>
      <c r="F419">
        <v>31</v>
      </c>
      <c r="G419">
        <v>4.0999999999999996</v>
      </c>
      <c r="H419">
        <f>IF(MONTH(calls[[#This Row],[Date of Call]])&lt;=6, YEAR(calls[[#This Row],[Date of Call]]), YEAR(calls[[#This Row],[Date of Call]])+1)</f>
        <v>2023</v>
      </c>
      <c r="I419" t="str">
        <f>TEXT(calls[[#This Row],[Date of Call]],"DDDD")</f>
        <v>Tuesday</v>
      </c>
      <c r="J419" t="str">
        <f t="array" ref="J419">_xlfn.IFS(calls[[#This Row],[Duration]]&lt;=10,"Under 10 mins", calls[[#This Row],[Duration]]&lt;=30, "10 to 30 mins", calls[[#This Row],[Duration]]&lt;=60, "30 to 60 mins", calls[[#This Row],[Duration]]&lt;=120, "1 to 2 hours", TRUE, "More than 2 hours")</f>
        <v>10 to 30 mins</v>
      </c>
      <c r="K419">
        <f>ROUND(calls[[#This Row],[Satisfaction Rating]],0)</f>
        <v>4</v>
      </c>
    </row>
    <row r="420" spans="1:11" ht="13.8" x14ac:dyDescent="0.25">
      <c r="A420" t="s">
        <v>449</v>
      </c>
      <c r="B420" t="s">
        <v>17</v>
      </c>
      <c r="C420">
        <v>66</v>
      </c>
      <c r="D420" s="4" t="s">
        <v>18</v>
      </c>
      <c r="E420" s="5">
        <v>45041</v>
      </c>
      <c r="F420">
        <v>102</v>
      </c>
      <c r="G420">
        <v>3.8</v>
      </c>
      <c r="H420">
        <f>IF(MONTH(calls[[#This Row],[Date of Call]])&lt;=6, YEAR(calls[[#This Row],[Date of Call]]), YEAR(calls[[#This Row],[Date of Call]])+1)</f>
        <v>2023</v>
      </c>
      <c r="I420" t="str">
        <f>TEXT(calls[[#This Row],[Date of Call]],"DDDD")</f>
        <v>Tuesday</v>
      </c>
      <c r="J420" t="str">
        <f t="array" ref="J420">_xlfn.IFS(calls[[#This Row],[Duration]]&lt;=10,"Under 10 mins", calls[[#This Row],[Duration]]&lt;=30, "10 to 30 mins", calls[[#This Row],[Duration]]&lt;=60, "30 to 60 mins", calls[[#This Row],[Duration]]&lt;=120, "1 to 2 hours", TRUE, "More than 2 hours")</f>
        <v>1 to 2 hours</v>
      </c>
      <c r="K420">
        <f>ROUND(calls[[#This Row],[Satisfaction Rating]],0)</f>
        <v>4</v>
      </c>
    </row>
    <row r="421" spans="1:11" ht="13.8" x14ac:dyDescent="0.25">
      <c r="A421" t="s">
        <v>450</v>
      </c>
      <c r="B421" t="s">
        <v>26</v>
      </c>
      <c r="C421">
        <v>126</v>
      </c>
      <c r="D421" s="4" t="s">
        <v>23</v>
      </c>
      <c r="E421" s="5">
        <v>45042</v>
      </c>
      <c r="F421">
        <v>175</v>
      </c>
      <c r="G421">
        <v>4.8</v>
      </c>
      <c r="H421">
        <f>IF(MONTH(calls[[#This Row],[Date of Call]])&lt;=6, YEAR(calls[[#This Row],[Date of Call]]), YEAR(calls[[#This Row],[Date of Call]])+1)</f>
        <v>2023</v>
      </c>
      <c r="I421" t="str">
        <f>TEXT(calls[[#This Row],[Date of Call]],"DDDD")</f>
        <v>Wednesday</v>
      </c>
      <c r="J421" t="str">
        <f t="array" ref="J421">_xlfn.IFS(calls[[#This Row],[Duration]]&lt;=10,"Under 10 mins", calls[[#This Row],[Duration]]&lt;=30, "10 to 30 mins", calls[[#This Row],[Duration]]&lt;=60, "30 to 60 mins", calls[[#This Row],[Duration]]&lt;=120, "1 to 2 hours", TRUE, "More than 2 hours")</f>
        <v>More than 2 hours</v>
      </c>
      <c r="K421">
        <f>ROUND(calls[[#This Row],[Satisfaction Rating]],0)</f>
        <v>5</v>
      </c>
    </row>
    <row r="422" spans="1:11" ht="13.8" x14ac:dyDescent="0.25">
      <c r="A422" t="s">
        <v>451</v>
      </c>
      <c r="B422" t="s">
        <v>54</v>
      </c>
      <c r="C422">
        <v>26</v>
      </c>
      <c r="D422" s="4" t="s">
        <v>13</v>
      </c>
      <c r="E422" s="5">
        <v>45042</v>
      </c>
      <c r="F422">
        <v>87</v>
      </c>
      <c r="G422">
        <v>4.7</v>
      </c>
      <c r="H422">
        <f>IF(MONTH(calls[[#This Row],[Date of Call]])&lt;=6, YEAR(calls[[#This Row],[Date of Call]]), YEAR(calls[[#This Row],[Date of Call]])+1)</f>
        <v>2023</v>
      </c>
      <c r="I422" t="str">
        <f>TEXT(calls[[#This Row],[Date of Call]],"DDDD")</f>
        <v>Wednesday</v>
      </c>
      <c r="J422" t="str">
        <f t="array" ref="J422">_xlfn.IFS(calls[[#This Row],[Duration]]&lt;=10,"Under 10 mins", calls[[#This Row],[Duration]]&lt;=30, "10 to 30 mins", calls[[#This Row],[Duration]]&lt;=60, "30 to 60 mins", calls[[#This Row],[Duration]]&lt;=120, "1 to 2 hours", TRUE, "More than 2 hours")</f>
        <v>10 to 30 mins</v>
      </c>
      <c r="K422">
        <f>ROUND(calls[[#This Row],[Satisfaction Rating]],0)</f>
        <v>5</v>
      </c>
    </row>
    <row r="423" spans="1:11" ht="13.8" x14ac:dyDescent="0.25">
      <c r="A423" t="s">
        <v>452</v>
      </c>
      <c r="B423" t="s">
        <v>37</v>
      </c>
      <c r="C423">
        <v>105</v>
      </c>
      <c r="D423" s="4" t="s">
        <v>23</v>
      </c>
      <c r="E423" s="5">
        <v>45042</v>
      </c>
      <c r="F423">
        <v>66</v>
      </c>
      <c r="G423">
        <v>4.2</v>
      </c>
      <c r="H423">
        <f>IF(MONTH(calls[[#This Row],[Date of Call]])&lt;=6, YEAR(calls[[#This Row],[Date of Call]]), YEAR(calls[[#This Row],[Date of Call]])+1)</f>
        <v>2023</v>
      </c>
      <c r="I423" t="str">
        <f>TEXT(calls[[#This Row],[Date of Call]],"DDDD")</f>
        <v>Wednesday</v>
      </c>
      <c r="J423" t="str">
        <f t="array" ref="J423">_xlfn.IFS(calls[[#This Row],[Duration]]&lt;=10,"Under 10 mins", calls[[#This Row],[Duration]]&lt;=30, "10 to 30 mins", calls[[#This Row],[Duration]]&lt;=60, "30 to 60 mins", calls[[#This Row],[Duration]]&lt;=120, "1 to 2 hours", TRUE, "More than 2 hours")</f>
        <v>1 to 2 hours</v>
      </c>
      <c r="K423">
        <f>ROUND(calls[[#This Row],[Satisfaction Rating]],0)</f>
        <v>4</v>
      </c>
    </row>
    <row r="424" spans="1:11" ht="13.8" x14ac:dyDescent="0.25">
      <c r="A424" t="s">
        <v>453</v>
      </c>
      <c r="B424" t="s">
        <v>37</v>
      </c>
      <c r="C424">
        <v>31</v>
      </c>
      <c r="D424" s="4" t="s">
        <v>23</v>
      </c>
      <c r="E424" s="5">
        <v>45042</v>
      </c>
      <c r="F424">
        <v>25</v>
      </c>
      <c r="G424">
        <v>3.2</v>
      </c>
      <c r="H424">
        <f>IF(MONTH(calls[[#This Row],[Date of Call]])&lt;=6, YEAR(calls[[#This Row],[Date of Call]]), YEAR(calls[[#This Row],[Date of Call]])+1)</f>
        <v>2023</v>
      </c>
      <c r="I424" t="str">
        <f>TEXT(calls[[#This Row],[Date of Call]],"DDDD")</f>
        <v>Wednesday</v>
      </c>
      <c r="J424" t="str">
        <f t="array" ref="J424">_xlfn.IFS(calls[[#This Row],[Duration]]&lt;=10,"Under 10 mins", calls[[#This Row],[Duration]]&lt;=30, "10 to 30 mins", calls[[#This Row],[Duration]]&lt;=60, "30 to 60 mins", calls[[#This Row],[Duration]]&lt;=120, "1 to 2 hours", TRUE, "More than 2 hours")</f>
        <v>30 to 60 mins</v>
      </c>
      <c r="K424">
        <f>ROUND(calls[[#This Row],[Satisfaction Rating]],0)</f>
        <v>3</v>
      </c>
    </row>
    <row r="425" spans="1:11" ht="13.8" x14ac:dyDescent="0.25">
      <c r="A425" t="s">
        <v>454</v>
      </c>
      <c r="B425" t="s">
        <v>17</v>
      </c>
      <c r="C425">
        <v>109</v>
      </c>
      <c r="D425" s="4" t="s">
        <v>18</v>
      </c>
      <c r="E425" s="5">
        <v>45042</v>
      </c>
      <c r="F425">
        <v>126</v>
      </c>
      <c r="G425">
        <v>3.4</v>
      </c>
      <c r="H425">
        <f>IF(MONTH(calls[[#This Row],[Date of Call]])&lt;=6, YEAR(calls[[#This Row],[Date of Call]]), YEAR(calls[[#This Row],[Date of Call]])+1)</f>
        <v>2023</v>
      </c>
      <c r="I425" t="str">
        <f>TEXT(calls[[#This Row],[Date of Call]],"DDDD")</f>
        <v>Wednesday</v>
      </c>
      <c r="J425" t="str">
        <f t="array" ref="J425">_xlfn.IFS(calls[[#This Row],[Duration]]&lt;=10,"Under 10 mins", calls[[#This Row],[Duration]]&lt;=30, "10 to 30 mins", calls[[#This Row],[Duration]]&lt;=60, "30 to 60 mins", calls[[#This Row],[Duration]]&lt;=120, "1 to 2 hours", TRUE, "More than 2 hours")</f>
        <v>1 to 2 hours</v>
      </c>
      <c r="K425">
        <f>ROUND(calls[[#This Row],[Satisfaction Rating]],0)</f>
        <v>3</v>
      </c>
    </row>
    <row r="426" spans="1:11" ht="13.8" x14ac:dyDescent="0.25">
      <c r="A426" t="s">
        <v>455</v>
      </c>
      <c r="B426" t="s">
        <v>12</v>
      </c>
      <c r="C426">
        <v>113</v>
      </c>
      <c r="D426" s="4" t="s">
        <v>28</v>
      </c>
      <c r="E426" s="5">
        <v>45043</v>
      </c>
      <c r="F426">
        <v>42</v>
      </c>
      <c r="G426">
        <v>4.5999999999999996</v>
      </c>
      <c r="H426">
        <f>IF(MONTH(calls[[#This Row],[Date of Call]])&lt;=6, YEAR(calls[[#This Row],[Date of Call]]), YEAR(calls[[#This Row],[Date of Call]])+1)</f>
        <v>2023</v>
      </c>
      <c r="I426" t="str">
        <f>TEXT(calls[[#This Row],[Date of Call]],"DDDD")</f>
        <v>Thursday</v>
      </c>
      <c r="J426" t="str">
        <f t="array" ref="J426">_xlfn.IFS(calls[[#This Row],[Duration]]&lt;=10,"Under 10 mins", calls[[#This Row],[Duration]]&lt;=30, "10 to 30 mins", calls[[#This Row],[Duration]]&lt;=60, "30 to 60 mins", calls[[#This Row],[Duration]]&lt;=120, "1 to 2 hours", TRUE, "More than 2 hours")</f>
        <v>1 to 2 hours</v>
      </c>
      <c r="K426">
        <f>ROUND(calls[[#This Row],[Satisfaction Rating]],0)</f>
        <v>5</v>
      </c>
    </row>
    <row r="427" spans="1:11" ht="13.8" x14ac:dyDescent="0.25">
      <c r="A427" t="s">
        <v>456</v>
      </c>
      <c r="B427" t="s">
        <v>26</v>
      </c>
      <c r="C427">
        <v>101</v>
      </c>
      <c r="D427" s="4" t="s">
        <v>13</v>
      </c>
      <c r="E427" s="5">
        <v>45043</v>
      </c>
      <c r="F427">
        <v>225</v>
      </c>
      <c r="G427">
        <v>1.9</v>
      </c>
      <c r="H427">
        <f>IF(MONTH(calls[[#This Row],[Date of Call]])&lt;=6, YEAR(calls[[#This Row],[Date of Call]]), YEAR(calls[[#This Row],[Date of Call]])+1)</f>
        <v>2023</v>
      </c>
      <c r="I427" t="str">
        <f>TEXT(calls[[#This Row],[Date of Call]],"DDDD")</f>
        <v>Thursday</v>
      </c>
      <c r="J427" t="str">
        <f t="array" ref="J427">_xlfn.IFS(calls[[#This Row],[Duration]]&lt;=10,"Under 10 mins", calls[[#This Row],[Duration]]&lt;=30, "10 to 30 mins", calls[[#This Row],[Duration]]&lt;=60, "30 to 60 mins", calls[[#This Row],[Duration]]&lt;=120, "1 to 2 hours", TRUE, "More than 2 hours")</f>
        <v>1 to 2 hours</v>
      </c>
      <c r="K427">
        <f>ROUND(calls[[#This Row],[Satisfaction Rating]],0)</f>
        <v>2</v>
      </c>
    </row>
    <row r="428" spans="1:11" ht="13.8" x14ac:dyDescent="0.25">
      <c r="A428" t="s">
        <v>457</v>
      </c>
      <c r="B428" t="s">
        <v>20</v>
      </c>
      <c r="C428">
        <v>156</v>
      </c>
      <c r="D428" s="4" t="s">
        <v>13</v>
      </c>
      <c r="E428" s="5">
        <v>45043</v>
      </c>
      <c r="F428">
        <v>42</v>
      </c>
      <c r="G428">
        <v>3.3</v>
      </c>
      <c r="H428">
        <f>IF(MONTH(calls[[#This Row],[Date of Call]])&lt;=6, YEAR(calls[[#This Row],[Date of Call]]), YEAR(calls[[#This Row],[Date of Call]])+1)</f>
        <v>2023</v>
      </c>
      <c r="I428" t="str">
        <f>TEXT(calls[[#This Row],[Date of Call]],"DDDD")</f>
        <v>Thursday</v>
      </c>
      <c r="J428" t="str">
        <f t="array" ref="J428">_xlfn.IFS(calls[[#This Row],[Duration]]&lt;=10,"Under 10 mins", calls[[#This Row],[Duration]]&lt;=30, "10 to 30 mins", calls[[#This Row],[Duration]]&lt;=60, "30 to 60 mins", calls[[#This Row],[Duration]]&lt;=120, "1 to 2 hours", TRUE, "More than 2 hours")</f>
        <v>More than 2 hours</v>
      </c>
      <c r="K428">
        <f>ROUND(calls[[#This Row],[Satisfaction Rating]],0)</f>
        <v>3</v>
      </c>
    </row>
    <row r="429" spans="1:11" ht="13.8" x14ac:dyDescent="0.25">
      <c r="A429" t="s">
        <v>458</v>
      </c>
      <c r="B429" t="s">
        <v>17</v>
      </c>
      <c r="C429">
        <v>145</v>
      </c>
      <c r="D429" s="4" t="s">
        <v>28</v>
      </c>
      <c r="E429" s="5">
        <v>45044</v>
      </c>
      <c r="F429">
        <v>110</v>
      </c>
      <c r="G429">
        <v>3.1</v>
      </c>
      <c r="H429">
        <f>IF(MONTH(calls[[#This Row],[Date of Call]])&lt;=6, YEAR(calls[[#This Row],[Date of Call]]), YEAR(calls[[#This Row],[Date of Call]])+1)</f>
        <v>2023</v>
      </c>
      <c r="I429" t="str">
        <f>TEXT(calls[[#This Row],[Date of Call]],"DDDD")</f>
        <v>Friday</v>
      </c>
      <c r="J429" t="str">
        <f t="array" ref="J429">_xlfn.IFS(calls[[#This Row],[Duration]]&lt;=10,"Under 10 mins", calls[[#This Row],[Duration]]&lt;=30, "10 to 30 mins", calls[[#This Row],[Duration]]&lt;=60, "30 to 60 mins", calls[[#This Row],[Duration]]&lt;=120, "1 to 2 hours", TRUE, "More than 2 hours")</f>
        <v>More than 2 hours</v>
      </c>
      <c r="K429">
        <f>ROUND(calls[[#This Row],[Satisfaction Rating]],0)</f>
        <v>3</v>
      </c>
    </row>
    <row r="430" spans="1:11" ht="13.8" x14ac:dyDescent="0.25">
      <c r="A430" t="s">
        <v>459</v>
      </c>
      <c r="B430" t="s">
        <v>46</v>
      </c>
      <c r="C430">
        <v>36</v>
      </c>
      <c r="D430" s="4" t="s">
        <v>18</v>
      </c>
      <c r="E430" s="5">
        <v>45044</v>
      </c>
      <c r="F430">
        <v>225</v>
      </c>
      <c r="G430">
        <v>4.8</v>
      </c>
      <c r="H430">
        <f>IF(MONTH(calls[[#This Row],[Date of Call]])&lt;=6, YEAR(calls[[#This Row],[Date of Call]]), YEAR(calls[[#This Row],[Date of Call]])+1)</f>
        <v>2023</v>
      </c>
      <c r="I430" t="str">
        <f>TEXT(calls[[#This Row],[Date of Call]],"DDDD")</f>
        <v>Friday</v>
      </c>
      <c r="J430" t="str">
        <f t="array" ref="J430">_xlfn.IFS(calls[[#This Row],[Duration]]&lt;=10,"Under 10 mins", calls[[#This Row],[Duration]]&lt;=30, "10 to 30 mins", calls[[#This Row],[Duration]]&lt;=60, "30 to 60 mins", calls[[#This Row],[Duration]]&lt;=120, "1 to 2 hours", TRUE, "More than 2 hours")</f>
        <v>30 to 60 mins</v>
      </c>
      <c r="K430">
        <f>ROUND(calls[[#This Row],[Satisfaction Rating]],0)</f>
        <v>5</v>
      </c>
    </row>
    <row r="431" spans="1:11" ht="13.8" x14ac:dyDescent="0.25">
      <c r="A431" t="s">
        <v>460</v>
      </c>
      <c r="B431" t="s">
        <v>37</v>
      </c>
      <c r="C431">
        <v>135</v>
      </c>
      <c r="D431" s="4" t="s">
        <v>32</v>
      </c>
      <c r="E431" s="5">
        <v>45045</v>
      </c>
      <c r="F431">
        <v>125</v>
      </c>
      <c r="G431">
        <v>3.3</v>
      </c>
      <c r="H431">
        <f>IF(MONTH(calls[[#This Row],[Date of Call]])&lt;=6, YEAR(calls[[#This Row],[Date of Call]]), YEAR(calls[[#This Row],[Date of Call]])+1)</f>
        <v>2023</v>
      </c>
      <c r="I431" t="str">
        <f>TEXT(calls[[#This Row],[Date of Call]],"DDDD")</f>
        <v>Saturday</v>
      </c>
      <c r="J431" t="str">
        <f t="array" ref="J431">_xlfn.IFS(calls[[#This Row],[Duration]]&lt;=10,"Under 10 mins", calls[[#This Row],[Duration]]&lt;=30, "10 to 30 mins", calls[[#This Row],[Duration]]&lt;=60, "30 to 60 mins", calls[[#This Row],[Duration]]&lt;=120, "1 to 2 hours", TRUE, "More than 2 hours")</f>
        <v>More than 2 hours</v>
      </c>
      <c r="K431">
        <f>ROUND(calls[[#This Row],[Satisfaction Rating]],0)</f>
        <v>3</v>
      </c>
    </row>
    <row r="432" spans="1:11" ht="13.8" x14ac:dyDescent="0.25">
      <c r="A432" t="s">
        <v>461</v>
      </c>
      <c r="B432" t="s">
        <v>26</v>
      </c>
      <c r="C432">
        <v>81</v>
      </c>
      <c r="D432" s="4" t="s">
        <v>18</v>
      </c>
      <c r="E432" s="5">
        <v>45045</v>
      </c>
      <c r="F432">
        <v>78</v>
      </c>
      <c r="G432">
        <v>2.9</v>
      </c>
      <c r="H432">
        <f>IF(MONTH(calls[[#This Row],[Date of Call]])&lt;=6, YEAR(calls[[#This Row],[Date of Call]]), YEAR(calls[[#This Row],[Date of Call]])+1)</f>
        <v>2023</v>
      </c>
      <c r="I432" t="str">
        <f>TEXT(calls[[#This Row],[Date of Call]],"DDDD")</f>
        <v>Saturday</v>
      </c>
      <c r="J432" t="str">
        <f t="array" ref="J432">_xlfn.IFS(calls[[#This Row],[Duration]]&lt;=10,"Under 10 mins", calls[[#This Row],[Duration]]&lt;=30, "10 to 30 mins", calls[[#This Row],[Duration]]&lt;=60, "30 to 60 mins", calls[[#This Row],[Duration]]&lt;=120, "1 to 2 hours", TRUE, "More than 2 hours")</f>
        <v>1 to 2 hours</v>
      </c>
      <c r="K432">
        <f>ROUND(calls[[#This Row],[Satisfaction Rating]],0)</f>
        <v>3</v>
      </c>
    </row>
    <row r="433" spans="1:11" ht="13.8" x14ac:dyDescent="0.25">
      <c r="A433" t="s">
        <v>462</v>
      </c>
      <c r="B433" t="s">
        <v>26</v>
      </c>
      <c r="C433">
        <v>81</v>
      </c>
      <c r="D433" s="4" t="s">
        <v>28</v>
      </c>
      <c r="E433" s="5">
        <v>45045</v>
      </c>
      <c r="F433">
        <v>40</v>
      </c>
      <c r="G433">
        <v>2.4</v>
      </c>
      <c r="H433">
        <f>IF(MONTH(calls[[#This Row],[Date of Call]])&lt;=6, YEAR(calls[[#This Row],[Date of Call]]), YEAR(calls[[#This Row],[Date of Call]])+1)</f>
        <v>2023</v>
      </c>
      <c r="I433" t="str">
        <f>TEXT(calls[[#This Row],[Date of Call]],"DDDD")</f>
        <v>Saturday</v>
      </c>
      <c r="J433" t="str">
        <f t="array" ref="J433">_xlfn.IFS(calls[[#This Row],[Duration]]&lt;=10,"Under 10 mins", calls[[#This Row],[Duration]]&lt;=30, "10 to 30 mins", calls[[#This Row],[Duration]]&lt;=60, "30 to 60 mins", calls[[#This Row],[Duration]]&lt;=120, "1 to 2 hours", TRUE, "More than 2 hours")</f>
        <v>1 to 2 hours</v>
      </c>
      <c r="K433">
        <f>ROUND(calls[[#This Row],[Satisfaction Rating]],0)</f>
        <v>2</v>
      </c>
    </row>
    <row r="434" spans="1:11" ht="13.8" x14ac:dyDescent="0.25">
      <c r="A434" t="s">
        <v>463</v>
      </c>
      <c r="B434" t="s">
        <v>43</v>
      </c>
      <c r="C434">
        <v>93</v>
      </c>
      <c r="D434" s="4" t="s">
        <v>23</v>
      </c>
      <c r="E434" s="5">
        <v>45045</v>
      </c>
      <c r="F434">
        <v>150</v>
      </c>
      <c r="G434">
        <v>4.5999999999999996</v>
      </c>
      <c r="H434">
        <f>IF(MONTH(calls[[#This Row],[Date of Call]])&lt;=6, YEAR(calls[[#This Row],[Date of Call]]), YEAR(calls[[#This Row],[Date of Call]])+1)</f>
        <v>2023</v>
      </c>
      <c r="I434" t="str">
        <f>TEXT(calls[[#This Row],[Date of Call]],"DDDD")</f>
        <v>Saturday</v>
      </c>
      <c r="J434" t="str">
        <f t="array" ref="J434">_xlfn.IFS(calls[[#This Row],[Duration]]&lt;=10,"Under 10 mins", calls[[#This Row],[Duration]]&lt;=30, "10 to 30 mins", calls[[#This Row],[Duration]]&lt;=60, "30 to 60 mins", calls[[#This Row],[Duration]]&lt;=120, "1 to 2 hours", TRUE, "More than 2 hours")</f>
        <v>1 to 2 hours</v>
      </c>
      <c r="K434">
        <f>ROUND(calls[[#This Row],[Satisfaction Rating]],0)</f>
        <v>5</v>
      </c>
    </row>
    <row r="435" spans="1:11" ht="13.8" x14ac:dyDescent="0.25">
      <c r="A435" t="s">
        <v>464</v>
      </c>
      <c r="B435" t="s">
        <v>17</v>
      </c>
      <c r="C435">
        <v>14</v>
      </c>
      <c r="D435" s="4" t="s">
        <v>18</v>
      </c>
      <c r="E435" s="5">
        <v>45045</v>
      </c>
      <c r="F435">
        <v>96</v>
      </c>
      <c r="G435">
        <v>4.8</v>
      </c>
      <c r="H435">
        <f>IF(MONTH(calls[[#This Row],[Date of Call]])&lt;=6, YEAR(calls[[#This Row],[Date of Call]]), YEAR(calls[[#This Row],[Date of Call]])+1)</f>
        <v>2023</v>
      </c>
      <c r="I435" t="str">
        <f>TEXT(calls[[#This Row],[Date of Call]],"DDDD")</f>
        <v>Saturday</v>
      </c>
      <c r="J435" t="str">
        <f t="array" ref="J435">_xlfn.IFS(calls[[#This Row],[Duration]]&lt;=10,"Under 10 mins", calls[[#This Row],[Duration]]&lt;=30, "10 to 30 mins", calls[[#This Row],[Duration]]&lt;=60, "30 to 60 mins", calls[[#This Row],[Duration]]&lt;=120, "1 to 2 hours", TRUE, "More than 2 hours")</f>
        <v>10 to 30 mins</v>
      </c>
      <c r="K435">
        <f>ROUND(calls[[#This Row],[Satisfaction Rating]],0)</f>
        <v>5</v>
      </c>
    </row>
    <row r="436" spans="1:11" ht="13.8" x14ac:dyDescent="0.25">
      <c r="A436" t="s">
        <v>465</v>
      </c>
      <c r="B436" t="s">
        <v>37</v>
      </c>
      <c r="C436">
        <v>95</v>
      </c>
      <c r="D436" s="4" t="s">
        <v>28</v>
      </c>
      <c r="E436" s="5">
        <v>45046</v>
      </c>
      <c r="F436">
        <v>75</v>
      </c>
      <c r="G436">
        <v>4.8</v>
      </c>
      <c r="H436">
        <f>IF(MONTH(calls[[#This Row],[Date of Call]])&lt;=6, YEAR(calls[[#This Row],[Date of Call]]), YEAR(calls[[#This Row],[Date of Call]])+1)</f>
        <v>2023</v>
      </c>
      <c r="I436" t="str">
        <f>TEXT(calls[[#This Row],[Date of Call]],"DDDD")</f>
        <v>Sunday</v>
      </c>
      <c r="J436" t="str">
        <f t="array" ref="J436">_xlfn.IFS(calls[[#This Row],[Duration]]&lt;=10,"Under 10 mins", calls[[#This Row],[Duration]]&lt;=30, "10 to 30 mins", calls[[#This Row],[Duration]]&lt;=60, "30 to 60 mins", calls[[#This Row],[Duration]]&lt;=120, "1 to 2 hours", TRUE, "More than 2 hours")</f>
        <v>1 to 2 hours</v>
      </c>
      <c r="K436">
        <f>ROUND(calls[[#This Row],[Satisfaction Rating]],0)</f>
        <v>5</v>
      </c>
    </row>
    <row r="437" spans="1:11" ht="13.8" x14ac:dyDescent="0.25">
      <c r="A437" t="s">
        <v>466</v>
      </c>
      <c r="B437" t="s">
        <v>43</v>
      </c>
      <c r="C437">
        <v>81</v>
      </c>
      <c r="D437" s="4" t="s">
        <v>28</v>
      </c>
      <c r="E437" s="5">
        <v>45046</v>
      </c>
      <c r="F437">
        <v>60</v>
      </c>
      <c r="G437">
        <v>3.6</v>
      </c>
      <c r="H437">
        <f>IF(MONTH(calls[[#This Row],[Date of Call]])&lt;=6, YEAR(calls[[#This Row],[Date of Call]]), YEAR(calls[[#This Row],[Date of Call]])+1)</f>
        <v>2023</v>
      </c>
      <c r="I437" t="str">
        <f>TEXT(calls[[#This Row],[Date of Call]],"DDDD")</f>
        <v>Sunday</v>
      </c>
      <c r="J437" t="str">
        <f t="array" ref="J437">_xlfn.IFS(calls[[#This Row],[Duration]]&lt;=10,"Under 10 mins", calls[[#This Row],[Duration]]&lt;=30, "10 to 30 mins", calls[[#This Row],[Duration]]&lt;=60, "30 to 60 mins", calls[[#This Row],[Duration]]&lt;=120, "1 to 2 hours", TRUE, "More than 2 hours")</f>
        <v>1 to 2 hours</v>
      </c>
      <c r="K437">
        <f>ROUND(calls[[#This Row],[Satisfaction Rating]],0)</f>
        <v>4</v>
      </c>
    </row>
    <row r="438" spans="1:11" ht="13.8" x14ac:dyDescent="0.25">
      <c r="A438" t="s">
        <v>467</v>
      </c>
      <c r="B438" t="s">
        <v>84</v>
      </c>
      <c r="C438">
        <v>60</v>
      </c>
      <c r="D438" s="4" t="s">
        <v>18</v>
      </c>
      <c r="E438" s="5">
        <v>45047</v>
      </c>
      <c r="F438">
        <v>41</v>
      </c>
      <c r="G438">
        <v>4.8</v>
      </c>
      <c r="H438">
        <f>IF(MONTH(calls[[#This Row],[Date of Call]])&lt;=6, YEAR(calls[[#This Row],[Date of Call]]), YEAR(calls[[#This Row],[Date of Call]])+1)</f>
        <v>2023</v>
      </c>
      <c r="I438" t="str">
        <f>TEXT(calls[[#This Row],[Date of Call]],"DDDD")</f>
        <v>Monday</v>
      </c>
      <c r="J438" t="str">
        <f t="array" ref="J438">_xlfn.IFS(calls[[#This Row],[Duration]]&lt;=10,"Under 10 mins", calls[[#This Row],[Duration]]&lt;=30, "10 to 30 mins", calls[[#This Row],[Duration]]&lt;=60, "30 to 60 mins", calls[[#This Row],[Duration]]&lt;=120, "1 to 2 hours", TRUE, "More than 2 hours")</f>
        <v>30 to 60 mins</v>
      </c>
      <c r="K438">
        <f>ROUND(calls[[#This Row],[Satisfaction Rating]],0)</f>
        <v>5</v>
      </c>
    </row>
    <row r="439" spans="1:11" ht="13.8" x14ac:dyDescent="0.25">
      <c r="A439" t="s">
        <v>468</v>
      </c>
      <c r="B439" t="s">
        <v>35</v>
      </c>
      <c r="C439">
        <v>137</v>
      </c>
      <c r="D439" s="4" t="s">
        <v>23</v>
      </c>
      <c r="E439" s="5">
        <v>45047</v>
      </c>
      <c r="F439">
        <v>20</v>
      </c>
      <c r="G439">
        <v>4.2</v>
      </c>
      <c r="H439">
        <f>IF(MONTH(calls[[#This Row],[Date of Call]])&lt;=6, YEAR(calls[[#This Row],[Date of Call]]), YEAR(calls[[#This Row],[Date of Call]])+1)</f>
        <v>2023</v>
      </c>
      <c r="I439" t="str">
        <f>TEXT(calls[[#This Row],[Date of Call]],"DDDD")</f>
        <v>Monday</v>
      </c>
      <c r="J439" t="str">
        <f t="array" ref="J439">_xlfn.IFS(calls[[#This Row],[Duration]]&lt;=10,"Under 10 mins", calls[[#This Row],[Duration]]&lt;=30, "10 to 30 mins", calls[[#This Row],[Duration]]&lt;=60, "30 to 60 mins", calls[[#This Row],[Duration]]&lt;=120, "1 to 2 hours", TRUE, "More than 2 hours")</f>
        <v>More than 2 hours</v>
      </c>
      <c r="K439">
        <f>ROUND(calls[[#This Row],[Satisfaction Rating]],0)</f>
        <v>4</v>
      </c>
    </row>
    <row r="440" spans="1:11" ht="13.8" x14ac:dyDescent="0.25">
      <c r="A440" t="s">
        <v>469</v>
      </c>
      <c r="B440" t="s">
        <v>15</v>
      </c>
      <c r="C440">
        <v>112</v>
      </c>
      <c r="D440" s="4" t="s">
        <v>32</v>
      </c>
      <c r="E440" s="5">
        <v>45047</v>
      </c>
      <c r="F440">
        <v>84</v>
      </c>
      <c r="G440">
        <v>2.6</v>
      </c>
      <c r="H440">
        <f>IF(MONTH(calls[[#This Row],[Date of Call]])&lt;=6, YEAR(calls[[#This Row],[Date of Call]]), YEAR(calls[[#This Row],[Date of Call]])+1)</f>
        <v>2023</v>
      </c>
      <c r="I440" t="str">
        <f>TEXT(calls[[#This Row],[Date of Call]],"DDDD")</f>
        <v>Monday</v>
      </c>
      <c r="J440" t="str">
        <f t="array" ref="J440">_xlfn.IFS(calls[[#This Row],[Duration]]&lt;=10,"Under 10 mins", calls[[#This Row],[Duration]]&lt;=30, "10 to 30 mins", calls[[#This Row],[Duration]]&lt;=60, "30 to 60 mins", calls[[#This Row],[Duration]]&lt;=120, "1 to 2 hours", TRUE, "More than 2 hours")</f>
        <v>1 to 2 hours</v>
      </c>
      <c r="K440">
        <f>ROUND(calls[[#This Row],[Satisfaction Rating]],0)</f>
        <v>3</v>
      </c>
    </row>
    <row r="441" spans="1:11" ht="13.8" x14ac:dyDescent="0.25">
      <c r="A441" t="s">
        <v>470</v>
      </c>
      <c r="B441" t="s">
        <v>37</v>
      </c>
      <c r="C441">
        <v>76</v>
      </c>
      <c r="D441" s="4" t="s">
        <v>13</v>
      </c>
      <c r="E441" s="5">
        <v>45047</v>
      </c>
      <c r="F441">
        <v>140</v>
      </c>
      <c r="G441">
        <v>3.7</v>
      </c>
      <c r="H441">
        <f>IF(MONTH(calls[[#This Row],[Date of Call]])&lt;=6, YEAR(calls[[#This Row],[Date of Call]]), YEAR(calls[[#This Row],[Date of Call]])+1)</f>
        <v>2023</v>
      </c>
      <c r="I441" t="str">
        <f>TEXT(calls[[#This Row],[Date of Call]],"DDDD")</f>
        <v>Monday</v>
      </c>
      <c r="J441" t="str">
        <f t="array" ref="J441">_xlfn.IFS(calls[[#This Row],[Duration]]&lt;=10,"Under 10 mins", calls[[#This Row],[Duration]]&lt;=30, "10 to 30 mins", calls[[#This Row],[Duration]]&lt;=60, "30 to 60 mins", calls[[#This Row],[Duration]]&lt;=120, "1 to 2 hours", TRUE, "More than 2 hours")</f>
        <v>1 to 2 hours</v>
      </c>
      <c r="K441">
        <f>ROUND(calls[[#This Row],[Satisfaction Rating]],0)</f>
        <v>4</v>
      </c>
    </row>
    <row r="442" spans="1:11" ht="13.8" x14ac:dyDescent="0.25">
      <c r="A442" t="s">
        <v>471</v>
      </c>
      <c r="B442" t="s">
        <v>51</v>
      </c>
      <c r="C442">
        <v>73</v>
      </c>
      <c r="D442" s="4" t="s">
        <v>18</v>
      </c>
      <c r="E442" s="5">
        <v>45047</v>
      </c>
      <c r="F442">
        <v>66</v>
      </c>
      <c r="G442">
        <v>4.8</v>
      </c>
      <c r="H442">
        <f>IF(MONTH(calls[[#This Row],[Date of Call]])&lt;=6, YEAR(calls[[#This Row],[Date of Call]]), YEAR(calls[[#This Row],[Date of Call]])+1)</f>
        <v>2023</v>
      </c>
      <c r="I442" t="str">
        <f>TEXT(calls[[#This Row],[Date of Call]],"DDDD")</f>
        <v>Monday</v>
      </c>
      <c r="J442" t="str">
        <f t="array" ref="J442">_xlfn.IFS(calls[[#This Row],[Duration]]&lt;=10,"Under 10 mins", calls[[#This Row],[Duration]]&lt;=30, "10 to 30 mins", calls[[#This Row],[Duration]]&lt;=60, "30 to 60 mins", calls[[#This Row],[Duration]]&lt;=120, "1 to 2 hours", TRUE, "More than 2 hours")</f>
        <v>1 to 2 hours</v>
      </c>
      <c r="K442">
        <f>ROUND(calls[[#This Row],[Satisfaction Rating]],0)</f>
        <v>5</v>
      </c>
    </row>
    <row r="443" spans="1:11" ht="13.8" x14ac:dyDescent="0.25">
      <c r="A443" t="s">
        <v>472</v>
      </c>
      <c r="B443" t="s">
        <v>31</v>
      </c>
      <c r="C443">
        <v>119</v>
      </c>
      <c r="D443" s="4" t="s">
        <v>23</v>
      </c>
      <c r="E443" s="5">
        <v>45047</v>
      </c>
      <c r="F443">
        <v>105</v>
      </c>
      <c r="G443">
        <v>4.7</v>
      </c>
      <c r="H443">
        <f>IF(MONTH(calls[[#This Row],[Date of Call]])&lt;=6, YEAR(calls[[#This Row],[Date of Call]]), YEAR(calls[[#This Row],[Date of Call]])+1)</f>
        <v>2023</v>
      </c>
      <c r="I443" t="str">
        <f>TEXT(calls[[#This Row],[Date of Call]],"DDDD")</f>
        <v>Monday</v>
      </c>
      <c r="J443" t="str">
        <f t="array" ref="J443">_xlfn.IFS(calls[[#This Row],[Duration]]&lt;=10,"Under 10 mins", calls[[#This Row],[Duration]]&lt;=30, "10 to 30 mins", calls[[#This Row],[Duration]]&lt;=60, "30 to 60 mins", calls[[#This Row],[Duration]]&lt;=120, "1 to 2 hours", TRUE, "More than 2 hours")</f>
        <v>1 to 2 hours</v>
      </c>
      <c r="K443">
        <f>ROUND(calls[[#This Row],[Satisfaction Rating]],0)</f>
        <v>5</v>
      </c>
    </row>
    <row r="444" spans="1:11" ht="13.8" x14ac:dyDescent="0.25">
      <c r="A444" t="s">
        <v>473</v>
      </c>
      <c r="B444" t="s">
        <v>12</v>
      </c>
      <c r="C444">
        <v>135</v>
      </c>
      <c r="D444" s="4" t="s">
        <v>28</v>
      </c>
      <c r="E444" s="5">
        <v>45048</v>
      </c>
      <c r="F444">
        <v>104</v>
      </c>
      <c r="G444">
        <v>4.0999999999999996</v>
      </c>
      <c r="H444">
        <f>IF(MONTH(calls[[#This Row],[Date of Call]])&lt;=6, YEAR(calls[[#This Row],[Date of Call]]), YEAR(calls[[#This Row],[Date of Call]])+1)</f>
        <v>2023</v>
      </c>
      <c r="I444" t="str">
        <f>TEXT(calls[[#This Row],[Date of Call]],"DDDD")</f>
        <v>Tuesday</v>
      </c>
      <c r="J444" t="str">
        <f t="array" ref="J444">_xlfn.IFS(calls[[#This Row],[Duration]]&lt;=10,"Under 10 mins", calls[[#This Row],[Duration]]&lt;=30, "10 to 30 mins", calls[[#This Row],[Duration]]&lt;=60, "30 to 60 mins", calls[[#This Row],[Duration]]&lt;=120, "1 to 2 hours", TRUE, "More than 2 hours")</f>
        <v>More than 2 hours</v>
      </c>
      <c r="K444">
        <f>ROUND(calls[[#This Row],[Satisfaction Rating]],0)</f>
        <v>4</v>
      </c>
    </row>
    <row r="445" spans="1:11" ht="13.8" x14ac:dyDescent="0.25">
      <c r="A445" t="s">
        <v>474</v>
      </c>
      <c r="B445" t="s">
        <v>35</v>
      </c>
      <c r="C445">
        <v>41</v>
      </c>
      <c r="D445" s="4" t="s">
        <v>32</v>
      </c>
      <c r="E445" s="5">
        <v>45048</v>
      </c>
      <c r="F445">
        <v>123</v>
      </c>
      <c r="G445">
        <v>3.2</v>
      </c>
      <c r="H445">
        <f>IF(MONTH(calls[[#This Row],[Date of Call]])&lt;=6, YEAR(calls[[#This Row],[Date of Call]]), YEAR(calls[[#This Row],[Date of Call]])+1)</f>
        <v>2023</v>
      </c>
      <c r="I445" t="str">
        <f>TEXT(calls[[#This Row],[Date of Call]],"DDDD")</f>
        <v>Tuesday</v>
      </c>
      <c r="J445" t="str">
        <f t="array" ref="J445">_xlfn.IFS(calls[[#This Row],[Duration]]&lt;=10,"Under 10 mins", calls[[#This Row],[Duration]]&lt;=30, "10 to 30 mins", calls[[#This Row],[Duration]]&lt;=60, "30 to 60 mins", calls[[#This Row],[Duration]]&lt;=120, "1 to 2 hours", TRUE, "More than 2 hours")</f>
        <v>30 to 60 mins</v>
      </c>
      <c r="K445">
        <f>ROUND(calls[[#This Row],[Satisfaction Rating]],0)</f>
        <v>3</v>
      </c>
    </row>
    <row r="446" spans="1:11" ht="13.8" x14ac:dyDescent="0.25">
      <c r="A446" t="s">
        <v>475</v>
      </c>
      <c r="B446" t="s">
        <v>17</v>
      </c>
      <c r="C446">
        <v>35</v>
      </c>
      <c r="D446" s="4" t="s">
        <v>28</v>
      </c>
      <c r="E446" s="5">
        <v>45049</v>
      </c>
      <c r="F446">
        <v>215</v>
      </c>
      <c r="G446">
        <v>4.3</v>
      </c>
      <c r="H446">
        <f>IF(MONTH(calls[[#This Row],[Date of Call]])&lt;=6, YEAR(calls[[#This Row],[Date of Call]]), YEAR(calls[[#This Row],[Date of Call]])+1)</f>
        <v>2023</v>
      </c>
      <c r="I446" t="str">
        <f>TEXT(calls[[#This Row],[Date of Call]],"DDDD")</f>
        <v>Wednesday</v>
      </c>
      <c r="J446" t="str">
        <f t="array" ref="J446">_xlfn.IFS(calls[[#This Row],[Duration]]&lt;=10,"Under 10 mins", calls[[#This Row],[Duration]]&lt;=30, "10 to 30 mins", calls[[#This Row],[Duration]]&lt;=60, "30 to 60 mins", calls[[#This Row],[Duration]]&lt;=120, "1 to 2 hours", TRUE, "More than 2 hours")</f>
        <v>30 to 60 mins</v>
      </c>
      <c r="K446">
        <f>ROUND(calls[[#This Row],[Satisfaction Rating]],0)</f>
        <v>4</v>
      </c>
    </row>
    <row r="447" spans="1:11" ht="13.8" x14ac:dyDescent="0.25">
      <c r="A447" t="s">
        <v>476</v>
      </c>
      <c r="B447" t="s">
        <v>12</v>
      </c>
      <c r="C447">
        <v>96</v>
      </c>
      <c r="D447" s="4" t="s">
        <v>18</v>
      </c>
      <c r="E447" s="5">
        <v>45049</v>
      </c>
      <c r="F447">
        <v>46</v>
      </c>
      <c r="G447">
        <v>0.7</v>
      </c>
      <c r="H447">
        <f>IF(MONTH(calls[[#This Row],[Date of Call]])&lt;=6, YEAR(calls[[#This Row],[Date of Call]]), YEAR(calls[[#This Row],[Date of Call]])+1)</f>
        <v>2023</v>
      </c>
      <c r="I447" t="str">
        <f>TEXT(calls[[#This Row],[Date of Call]],"DDDD")</f>
        <v>Wednesday</v>
      </c>
      <c r="J447" t="str">
        <f t="array" ref="J447">_xlfn.IFS(calls[[#This Row],[Duration]]&lt;=10,"Under 10 mins", calls[[#This Row],[Duration]]&lt;=30, "10 to 30 mins", calls[[#This Row],[Duration]]&lt;=60, "30 to 60 mins", calls[[#This Row],[Duration]]&lt;=120, "1 to 2 hours", TRUE, "More than 2 hours")</f>
        <v>1 to 2 hours</v>
      </c>
      <c r="K447">
        <f>ROUND(calls[[#This Row],[Satisfaction Rating]],0)</f>
        <v>1</v>
      </c>
    </row>
    <row r="448" spans="1:11" ht="13.8" x14ac:dyDescent="0.25">
      <c r="A448" t="s">
        <v>477</v>
      </c>
      <c r="B448" t="s">
        <v>43</v>
      </c>
      <c r="C448">
        <v>61</v>
      </c>
      <c r="D448" s="4" t="s">
        <v>32</v>
      </c>
      <c r="E448" s="5">
        <v>45049</v>
      </c>
      <c r="F448">
        <v>115</v>
      </c>
      <c r="G448">
        <v>3.7</v>
      </c>
      <c r="H448">
        <f>IF(MONTH(calls[[#This Row],[Date of Call]])&lt;=6, YEAR(calls[[#This Row],[Date of Call]]), YEAR(calls[[#This Row],[Date of Call]])+1)</f>
        <v>2023</v>
      </c>
      <c r="I448" t="str">
        <f>TEXT(calls[[#This Row],[Date of Call]],"DDDD")</f>
        <v>Wednesday</v>
      </c>
      <c r="J448" t="str">
        <f t="array" ref="J448">_xlfn.IFS(calls[[#This Row],[Duration]]&lt;=10,"Under 10 mins", calls[[#This Row],[Duration]]&lt;=30, "10 to 30 mins", calls[[#This Row],[Duration]]&lt;=60, "30 to 60 mins", calls[[#This Row],[Duration]]&lt;=120, "1 to 2 hours", TRUE, "More than 2 hours")</f>
        <v>1 to 2 hours</v>
      </c>
      <c r="K448">
        <f>ROUND(calls[[#This Row],[Satisfaction Rating]],0)</f>
        <v>4</v>
      </c>
    </row>
    <row r="449" spans="1:11" ht="13.8" x14ac:dyDescent="0.25">
      <c r="A449" t="s">
        <v>478</v>
      </c>
      <c r="B449" t="s">
        <v>12</v>
      </c>
      <c r="C449">
        <v>91</v>
      </c>
      <c r="D449" s="4" t="s">
        <v>32</v>
      </c>
      <c r="E449" s="5">
        <v>45049</v>
      </c>
      <c r="F449">
        <v>124</v>
      </c>
      <c r="G449">
        <v>3.9</v>
      </c>
      <c r="H449">
        <f>IF(MONTH(calls[[#This Row],[Date of Call]])&lt;=6, YEAR(calls[[#This Row],[Date of Call]]), YEAR(calls[[#This Row],[Date of Call]])+1)</f>
        <v>2023</v>
      </c>
      <c r="I449" t="str">
        <f>TEXT(calls[[#This Row],[Date of Call]],"DDDD")</f>
        <v>Wednesday</v>
      </c>
      <c r="J449" t="str">
        <f t="array" ref="J449">_xlfn.IFS(calls[[#This Row],[Duration]]&lt;=10,"Under 10 mins", calls[[#This Row],[Duration]]&lt;=30, "10 to 30 mins", calls[[#This Row],[Duration]]&lt;=60, "30 to 60 mins", calls[[#This Row],[Duration]]&lt;=120, "1 to 2 hours", TRUE, "More than 2 hours")</f>
        <v>1 to 2 hours</v>
      </c>
      <c r="K449">
        <f>ROUND(calls[[#This Row],[Satisfaction Rating]],0)</f>
        <v>4</v>
      </c>
    </row>
    <row r="450" spans="1:11" ht="13.8" x14ac:dyDescent="0.25">
      <c r="A450" t="s">
        <v>479</v>
      </c>
      <c r="B450" t="s">
        <v>64</v>
      </c>
      <c r="C450">
        <v>30</v>
      </c>
      <c r="D450" s="4" t="s">
        <v>32</v>
      </c>
      <c r="E450" s="5">
        <v>45050</v>
      </c>
      <c r="F450">
        <v>205</v>
      </c>
      <c r="G450">
        <v>4.5</v>
      </c>
      <c r="H450">
        <f>IF(MONTH(calls[[#This Row],[Date of Call]])&lt;=6, YEAR(calls[[#This Row],[Date of Call]]), YEAR(calls[[#This Row],[Date of Call]])+1)</f>
        <v>2023</v>
      </c>
      <c r="I450" t="str">
        <f>TEXT(calls[[#This Row],[Date of Call]],"DDDD")</f>
        <v>Thursday</v>
      </c>
      <c r="J450" t="str">
        <f t="array" ref="J450">_xlfn.IFS(calls[[#This Row],[Duration]]&lt;=10,"Under 10 mins", calls[[#This Row],[Duration]]&lt;=30, "10 to 30 mins", calls[[#This Row],[Duration]]&lt;=60, "30 to 60 mins", calls[[#This Row],[Duration]]&lt;=120, "1 to 2 hours", TRUE, "More than 2 hours")</f>
        <v>10 to 30 mins</v>
      </c>
      <c r="K450">
        <f>ROUND(calls[[#This Row],[Satisfaction Rating]],0)</f>
        <v>5</v>
      </c>
    </row>
    <row r="451" spans="1:11" ht="13.8" x14ac:dyDescent="0.25">
      <c r="A451" t="s">
        <v>480</v>
      </c>
      <c r="B451" t="s">
        <v>84</v>
      </c>
      <c r="C451">
        <v>111</v>
      </c>
      <c r="D451" s="4" t="s">
        <v>23</v>
      </c>
      <c r="E451" s="5">
        <v>45050</v>
      </c>
      <c r="F451">
        <v>90</v>
      </c>
      <c r="G451">
        <v>2.8</v>
      </c>
      <c r="H451">
        <f>IF(MONTH(calls[[#This Row],[Date of Call]])&lt;=6, YEAR(calls[[#This Row],[Date of Call]]), YEAR(calls[[#This Row],[Date of Call]])+1)</f>
        <v>2023</v>
      </c>
      <c r="I451" t="str">
        <f>TEXT(calls[[#This Row],[Date of Call]],"DDDD")</f>
        <v>Thursday</v>
      </c>
      <c r="J451" t="str">
        <f t="array" ref="J451">_xlfn.IFS(calls[[#This Row],[Duration]]&lt;=10,"Under 10 mins", calls[[#This Row],[Duration]]&lt;=30, "10 to 30 mins", calls[[#This Row],[Duration]]&lt;=60, "30 to 60 mins", calls[[#This Row],[Duration]]&lt;=120, "1 to 2 hours", TRUE, "More than 2 hours")</f>
        <v>1 to 2 hours</v>
      </c>
      <c r="K451">
        <f>ROUND(calls[[#This Row],[Satisfaction Rating]],0)</f>
        <v>3</v>
      </c>
    </row>
    <row r="452" spans="1:11" ht="13.8" x14ac:dyDescent="0.25">
      <c r="A452" t="s">
        <v>481</v>
      </c>
      <c r="B452" t="s">
        <v>43</v>
      </c>
      <c r="C452">
        <v>81</v>
      </c>
      <c r="D452" s="4" t="s">
        <v>18</v>
      </c>
      <c r="E452" s="5">
        <v>45050</v>
      </c>
      <c r="F452">
        <v>92</v>
      </c>
      <c r="G452">
        <v>4.9000000000000004</v>
      </c>
      <c r="H452">
        <f>IF(MONTH(calls[[#This Row],[Date of Call]])&lt;=6, YEAR(calls[[#This Row],[Date of Call]]), YEAR(calls[[#This Row],[Date of Call]])+1)</f>
        <v>2023</v>
      </c>
      <c r="I452" t="str">
        <f>TEXT(calls[[#This Row],[Date of Call]],"DDDD")</f>
        <v>Thursday</v>
      </c>
      <c r="J452" t="str">
        <f t="array" ref="J452">_xlfn.IFS(calls[[#This Row],[Duration]]&lt;=10,"Under 10 mins", calls[[#This Row],[Duration]]&lt;=30, "10 to 30 mins", calls[[#This Row],[Duration]]&lt;=60, "30 to 60 mins", calls[[#This Row],[Duration]]&lt;=120, "1 to 2 hours", TRUE, "More than 2 hours")</f>
        <v>1 to 2 hours</v>
      </c>
      <c r="K452">
        <f>ROUND(calls[[#This Row],[Satisfaction Rating]],0)</f>
        <v>5</v>
      </c>
    </row>
    <row r="453" spans="1:11" ht="13.8" x14ac:dyDescent="0.25">
      <c r="A453" t="s">
        <v>482</v>
      </c>
      <c r="B453" t="s">
        <v>37</v>
      </c>
      <c r="C453">
        <v>40</v>
      </c>
      <c r="D453" s="4" t="s">
        <v>28</v>
      </c>
      <c r="E453" s="5">
        <v>45052</v>
      </c>
      <c r="F453">
        <v>108</v>
      </c>
      <c r="G453">
        <v>4.2</v>
      </c>
      <c r="H453">
        <f>IF(MONTH(calls[[#This Row],[Date of Call]])&lt;=6, YEAR(calls[[#This Row],[Date of Call]]), YEAR(calls[[#This Row],[Date of Call]])+1)</f>
        <v>2023</v>
      </c>
      <c r="I453" t="str">
        <f>TEXT(calls[[#This Row],[Date of Call]],"DDDD")</f>
        <v>Saturday</v>
      </c>
      <c r="J453" t="str">
        <f t="array" ref="J453">_xlfn.IFS(calls[[#This Row],[Duration]]&lt;=10,"Under 10 mins", calls[[#This Row],[Duration]]&lt;=30, "10 to 30 mins", calls[[#This Row],[Duration]]&lt;=60, "30 to 60 mins", calls[[#This Row],[Duration]]&lt;=120, "1 to 2 hours", TRUE, "More than 2 hours")</f>
        <v>30 to 60 mins</v>
      </c>
      <c r="K453">
        <f>ROUND(calls[[#This Row],[Satisfaction Rating]],0)</f>
        <v>4</v>
      </c>
    </row>
    <row r="454" spans="1:11" ht="13.8" x14ac:dyDescent="0.25">
      <c r="A454" t="s">
        <v>483</v>
      </c>
      <c r="B454" t="s">
        <v>84</v>
      </c>
      <c r="C454">
        <v>143</v>
      </c>
      <c r="D454" s="4" t="s">
        <v>28</v>
      </c>
      <c r="E454" s="5">
        <v>45052</v>
      </c>
      <c r="F454">
        <v>54</v>
      </c>
      <c r="G454">
        <v>4.4000000000000004</v>
      </c>
      <c r="H454">
        <f>IF(MONTH(calls[[#This Row],[Date of Call]])&lt;=6, YEAR(calls[[#This Row],[Date of Call]]), YEAR(calls[[#This Row],[Date of Call]])+1)</f>
        <v>2023</v>
      </c>
      <c r="I454" t="str">
        <f>TEXT(calls[[#This Row],[Date of Call]],"DDDD")</f>
        <v>Saturday</v>
      </c>
      <c r="J454" t="str">
        <f t="array" ref="J454">_xlfn.IFS(calls[[#This Row],[Duration]]&lt;=10,"Under 10 mins", calls[[#This Row],[Duration]]&lt;=30, "10 to 30 mins", calls[[#This Row],[Duration]]&lt;=60, "30 to 60 mins", calls[[#This Row],[Duration]]&lt;=120, "1 to 2 hours", TRUE, "More than 2 hours")</f>
        <v>More than 2 hours</v>
      </c>
      <c r="K454">
        <f>ROUND(calls[[#This Row],[Satisfaction Rating]],0)</f>
        <v>4</v>
      </c>
    </row>
    <row r="455" spans="1:11" ht="13.8" x14ac:dyDescent="0.25">
      <c r="A455" t="s">
        <v>484</v>
      </c>
      <c r="B455" t="s">
        <v>37</v>
      </c>
      <c r="C455">
        <v>70</v>
      </c>
      <c r="D455" s="4" t="s">
        <v>28</v>
      </c>
      <c r="E455" s="5">
        <v>45053</v>
      </c>
      <c r="F455">
        <v>44</v>
      </c>
      <c r="G455">
        <v>3.5</v>
      </c>
      <c r="H455">
        <f>IF(MONTH(calls[[#This Row],[Date of Call]])&lt;=6, YEAR(calls[[#This Row],[Date of Call]]), YEAR(calls[[#This Row],[Date of Call]])+1)</f>
        <v>2023</v>
      </c>
      <c r="I455" t="str">
        <f>TEXT(calls[[#This Row],[Date of Call]],"DDDD")</f>
        <v>Sunday</v>
      </c>
      <c r="J455" t="str">
        <f t="array" ref="J455">_xlfn.IFS(calls[[#This Row],[Duration]]&lt;=10,"Under 10 mins", calls[[#This Row],[Duration]]&lt;=30, "10 to 30 mins", calls[[#This Row],[Duration]]&lt;=60, "30 to 60 mins", calls[[#This Row],[Duration]]&lt;=120, "1 to 2 hours", TRUE, "More than 2 hours")</f>
        <v>1 to 2 hours</v>
      </c>
      <c r="K455">
        <f>ROUND(calls[[#This Row],[Satisfaction Rating]],0)</f>
        <v>4</v>
      </c>
    </row>
    <row r="456" spans="1:11" ht="13.8" x14ac:dyDescent="0.25">
      <c r="A456" t="s">
        <v>485</v>
      </c>
      <c r="B456" t="s">
        <v>51</v>
      </c>
      <c r="C456">
        <v>137</v>
      </c>
      <c r="D456" s="4" t="s">
        <v>28</v>
      </c>
      <c r="E456" s="5">
        <v>45053</v>
      </c>
      <c r="F456">
        <v>44</v>
      </c>
      <c r="G456">
        <v>4.7</v>
      </c>
      <c r="H456">
        <f>IF(MONTH(calls[[#This Row],[Date of Call]])&lt;=6, YEAR(calls[[#This Row],[Date of Call]]), YEAR(calls[[#This Row],[Date of Call]])+1)</f>
        <v>2023</v>
      </c>
      <c r="I456" t="str">
        <f>TEXT(calls[[#This Row],[Date of Call]],"DDDD")</f>
        <v>Sunday</v>
      </c>
      <c r="J456" t="str">
        <f t="array" ref="J456">_xlfn.IFS(calls[[#This Row],[Duration]]&lt;=10,"Under 10 mins", calls[[#This Row],[Duration]]&lt;=30, "10 to 30 mins", calls[[#This Row],[Duration]]&lt;=60, "30 to 60 mins", calls[[#This Row],[Duration]]&lt;=120, "1 to 2 hours", TRUE, "More than 2 hours")</f>
        <v>More than 2 hours</v>
      </c>
      <c r="K456">
        <f>ROUND(calls[[#This Row],[Satisfaction Rating]],0)</f>
        <v>5</v>
      </c>
    </row>
    <row r="457" spans="1:11" ht="13.8" x14ac:dyDescent="0.25">
      <c r="A457" t="s">
        <v>486</v>
      </c>
      <c r="B457" t="s">
        <v>12</v>
      </c>
      <c r="C457">
        <v>52</v>
      </c>
      <c r="D457" s="4" t="s">
        <v>18</v>
      </c>
      <c r="E457" s="5">
        <v>45054</v>
      </c>
      <c r="F457">
        <v>37</v>
      </c>
      <c r="G457">
        <v>4.9000000000000004</v>
      </c>
      <c r="H457">
        <f>IF(MONTH(calls[[#This Row],[Date of Call]])&lt;=6, YEAR(calls[[#This Row],[Date of Call]]), YEAR(calls[[#This Row],[Date of Call]])+1)</f>
        <v>2023</v>
      </c>
      <c r="I457" t="str">
        <f>TEXT(calls[[#This Row],[Date of Call]],"DDDD")</f>
        <v>Monday</v>
      </c>
      <c r="J457" t="str">
        <f t="array" ref="J457">_xlfn.IFS(calls[[#This Row],[Duration]]&lt;=10,"Under 10 mins", calls[[#This Row],[Duration]]&lt;=30, "10 to 30 mins", calls[[#This Row],[Duration]]&lt;=60, "30 to 60 mins", calls[[#This Row],[Duration]]&lt;=120, "1 to 2 hours", TRUE, "More than 2 hours")</f>
        <v>30 to 60 mins</v>
      </c>
      <c r="K457">
        <f>ROUND(calls[[#This Row],[Satisfaction Rating]],0)</f>
        <v>5</v>
      </c>
    </row>
    <row r="458" spans="1:11" ht="13.8" x14ac:dyDescent="0.25">
      <c r="A458" t="s">
        <v>487</v>
      </c>
      <c r="B458" t="s">
        <v>15</v>
      </c>
      <c r="C458">
        <v>31</v>
      </c>
      <c r="D458" s="4" t="s">
        <v>23</v>
      </c>
      <c r="E458" s="5">
        <v>45054</v>
      </c>
      <c r="F458">
        <v>180</v>
      </c>
      <c r="G458">
        <v>4.5</v>
      </c>
      <c r="H458">
        <f>IF(MONTH(calls[[#This Row],[Date of Call]])&lt;=6, YEAR(calls[[#This Row],[Date of Call]]), YEAR(calls[[#This Row],[Date of Call]])+1)</f>
        <v>2023</v>
      </c>
      <c r="I458" t="str">
        <f>TEXT(calls[[#This Row],[Date of Call]],"DDDD")</f>
        <v>Monday</v>
      </c>
      <c r="J458" t="str">
        <f t="array" ref="J458">_xlfn.IFS(calls[[#This Row],[Duration]]&lt;=10,"Under 10 mins", calls[[#This Row],[Duration]]&lt;=30, "10 to 30 mins", calls[[#This Row],[Duration]]&lt;=60, "30 to 60 mins", calls[[#This Row],[Duration]]&lt;=120, "1 to 2 hours", TRUE, "More than 2 hours")</f>
        <v>30 to 60 mins</v>
      </c>
      <c r="K458">
        <f>ROUND(calls[[#This Row],[Satisfaction Rating]],0)</f>
        <v>5</v>
      </c>
    </row>
    <row r="459" spans="1:11" ht="13.8" x14ac:dyDescent="0.25">
      <c r="A459" t="s">
        <v>488</v>
      </c>
      <c r="B459" t="s">
        <v>12</v>
      </c>
      <c r="C459">
        <v>114</v>
      </c>
      <c r="D459" s="4" t="s">
        <v>32</v>
      </c>
      <c r="E459" s="5">
        <v>45054</v>
      </c>
      <c r="F459">
        <v>105</v>
      </c>
      <c r="G459">
        <v>4.9000000000000004</v>
      </c>
      <c r="H459">
        <f>IF(MONTH(calls[[#This Row],[Date of Call]])&lt;=6, YEAR(calls[[#This Row],[Date of Call]]), YEAR(calls[[#This Row],[Date of Call]])+1)</f>
        <v>2023</v>
      </c>
      <c r="I459" t="str">
        <f>TEXT(calls[[#This Row],[Date of Call]],"DDDD")</f>
        <v>Monday</v>
      </c>
      <c r="J459" t="str">
        <f t="array" ref="J459">_xlfn.IFS(calls[[#This Row],[Duration]]&lt;=10,"Under 10 mins", calls[[#This Row],[Duration]]&lt;=30, "10 to 30 mins", calls[[#This Row],[Duration]]&lt;=60, "30 to 60 mins", calls[[#This Row],[Duration]]&lt;=120, "1 to 2 hours", TRUE, "More than 2 hours")</f>
        <v>1 to 2 hours</v>
      </c>
      <c r="K459">
        <f>ROUND(calls[[#This Row],[Satisfaction Rating]],0)</f>
        <v>5</v>
      </c>
    </row>
    <row r="460" spans="1:11" ht="13.8" x14ac:dyDescent="0.25">
      <c r="A460" t="s">
        <v>489</v>
      </c>
      <c r="B460" t="s">
        <v>51</v>
      </c>
      <c r="C460">
        <v>73</v>
      </c>
      <c r="D460" s="4" t="s">
        <v>13</v>
      </c>
      <c r="E460" s="5">
        <v>45054</v>
      </c>
      <c r="F460">
        <v>87</v>
      </c>
      <c r="G460">
        <v>3.6</v>
      </c>
      <c r="H460">
        <f>IF(MONTH(calls[[#This Row],[Date of Call]])&lt;=6, YEAR(calls[[#This Row],[Date of Call]]), YEAR(calls[[#This Row],[Date of Call]])+1)</f>
        <v>2023</v>
      </c>
      <c r="I460" t="str">
        <f>TEXT(calls[[#This Row],[Date of Call]],"DDDD")</f>
        <v>Monday</v>
      </c>
      <c r="J460" t="str">
        <f t="array" ref="J460">_xlfn.IFS(calls[[#This Row],[Duration]]&lt;=10,"Under 10 mins", calls[[#This Row],[Duration]]&lt;=30, "10 to 30 mins", calls[[#This Row],[Duration]]&lt;=60, "30 to 60 mins", calls[[#This Row],[Duration]]&lt;=120, "1 to 2 hours", TRUE, "More than 2 hours")</f>
        <v>1 to 2 hours</v>
      </c>
      <c r="K460">
        <f>ROUND(calls[[#This Row],[Satisfaction Rating]],0)</f>
        <v>4</v>
      </c>
    </row>
    <row r="461" spans="1:11" ht="13.8" x14ac:dyDescent="0.25">
      <c r="A461" t="s">
        <v>490</v>
      </c>
      <c r="B461" t="s">
        <v>43</v>
      </c>
      <c r="C461">
        <v>25</v>
      </c>
      <c r="D461" s="4" t="s">
        <v>23</v>
      </c>
      <c r="E461" s="5">
        <v>45054</v>
      </c>
      <c r="F461">
        <v>52</v>
      </c>
      <c r="G461">
        <v>3.8</v>
      </c>
      <c r="H461">
        <f>IF(MONTH(calls[[#This Row],[Date of Call]])&lt;=6, YEAR(calls[[#This Row],[Date of Call]]), YEAR(calls[[#This Row],[Date of Call]])+1)</f>
        <v>2023</v>
      </c>
      <c r="I461" t="str">
        <f>TEXT(calls[[#This Row],[Date of Call]],"DDDD")</f>
        <v>Monday</v>
      </c>
      <c r="J461" t="str">
        <f t="array" ref="J461">_xlfn.IFS(calls[[#This Row],[Duration]]&lt;=10,"Under 10 mins", calls[[#This Row],[Duration]]&lt;=30, "10 to 30 mins", calls[[#This Row],[Duration]]&lt;=60, "30 to 60 mins", calls[[#This Row],[Duration]]&lt;=120, "1 to 2 hours", TRUE, "More than 2 hours")</f>
        <v>10 to 30 mins</v>
      </c>
      <c r="K461">
        <f>ROUND(calls[[#This Row],[Satisfaction Rating]],0)</f>
        <v>4</v>
      </c>
    </row>
    <row r="462" spans="1:11" ht="13.8" x14ac:dyDescent="0.25">
      <c r="A462" t="s">
        <v>491</v>
      </c>
      <c r="B462" t="s">
        <v>22</v>
      </c>
      <c r="C462">
        <v>44</v>
      </c>
      <c r="D462" s="4" t="s">
        <v>32</v>
      </c>
      <c r="E462" s="5">
        <v>45054</v>
      </c>
      <c r="F462">
        <v>63</v>
      </c>
      <c r="G462">
        <v>3.5</v>
      </c>
      <c r="H462">
        <f>IF(MONTH(calls[[#This Row],[Date of Call]])&lt;=6, YEAR(calls[[#This Row],[Date of Call]]), YEAR(calls[[#This Row],[Date of Call]])+1)</f>
        <v>2023</v>
      </c>
      <c r="I462" t="str">
        <f>TEXT(calls[[#This Row],[Date of Call]],"DDDD")</f>
        <v>Monday</v>
      </c>
      <c r="J462" t="str">
        <f t="array" ref="J462">_xlfn.IFS(calls[[#This Row],[Duration]]&lt;=10,"Under 10 mins", calls[[#This Row],[Duration]]&lt;=30, "10 to 30 mins", calls[[#This Row],[Duration]]&lt;=60, "30 to 60 mins", calls[[#This Row],[Duration]]&lt;=120, "1 to 2 hours", TRUE, "More than 2 hours")</f>
        <v>30 to 60 mins</v>
      </c>
      <c r="K462">
        <f>ROUND(calls[[#This Row],[Satisfaction Rating]],0)</f>
        <v>4</v>
      </c>
    </row>
    <row r="463" spans="1:11" ht="13.8" x14ac:dyDescent="0.25">
      <c r="A463" t="s">
        <v>492</v>
      </c>
      <c r="B463" t="s">
        <v>46</v>
      </c>
      <c r="C463">
        <v>34</v>
      </c>
      <c r="D463" s="4" t="s">
        <v>18</v>
      </c>
      <c r="E463" s="5">
        <v>45055</v>
      </c>
      <c r="F463">
        <v>195</v>
      </c>
      <c r="G463">
        <v>4.8</v>
      </c>
      <c r="H463">
        <f>IF(MONTH(calls[[#This Row],[Date of Call]])&lt;=6, YEAR(calls[[#This Row],[Date of Call]]), YEAR(calls[[#This Row],[Date of Call]])+1)</f>
        <v>2023</v>
      </c>
      <c r="I463" t="str">
        <f>TEXT(calls[[#This Row],[Date of Call]],"DDDD")</f>
        <v>Tuesday</v>
      </c>
      <c r="J463" t="str">
        <f t="array" ref="J463">_xlfn.IFS(calls[[#This Row],[Duration]]&lt;=10,"Under 10 mins", calls[[#This Row],[Duration]]&lt;=30, "10 to 30 mins", calls[[#This Row],[Duration]]&lt;=60, "30 to 60 mins", calls[[#This Row],[Duration]]&lt;=120, "1 to 2 hours", TRUE, "More than 2 hours")</f>
        <v>30 to 60 mins</v>
      </c>
      <c r="K463">
        <f>ROUND(calls[[#This Row],[Satisfaction Rating]],0)</f>
        <v>5</v>
      </c>
    </row>
    <row r="464" spans="1:11" ht="13.8" x14ac:dyDescent="0.25">
      <c r="A464" t="s">
        <v>493</v>
      </c>
      <c r="B464" t="s">
        <v>84</v>
      </c>
      <c r="C464">
        <v>89</v>
      </c>
      <c r="D464" s="4" t="s">
        <v>28</v>
      </c>
      <c r="E464" s="5">
        <v>45056</v>
      </c>
      <c r="F464">
        <v>176</v>
      </c>
      <c r="G464">
        <v>4.5</v>
      </c>
      <c r="H464">
        <f>IF(MONTH(calls[[#This Row],[Date of Call]])&lt;=6, YEAR(calls[[#This Row],[Date of Call]]), YEAR(calls[[#This Row],[Date of Call]])+1)</f>
        <v>2023</v>
      </c>
      <c r="I464" t="str">
        <f>TEXT(calls[[#This Row],[Date of Call]],"DDDD")</f>
        <v>Wednesday</v>
      </c>
      <c r="J464" t="str">
        <f t="array" ref="J464">_xlfn.IFS(calls[[#This Row],[Duration]]&lt;=10,"Under 10 mins", calls[[#This Row],[Duration]]&lt;=30, "10 to 30 mins", calls[[#This Row],[Duration]]&lt;=60, "30 to 60 mins", calls[[#This Row],[Duration]]&lt;=120, "1 to 2 hours", TRUE, "More than 2 hours")</f>
        <v>1 to 2 hours</v>
      </c>
      <c r="K464">
        <f>ROUND(calls[[#This Row],[Satisfaction Rating]],0)</f>
        <v>5</v>
      </c>
    </row>
    <row r="465" spans="1:11" ht="13.8" x14ac:dyDescent="0.25">
      <c r="A465" t="s">
        <v>494</v>
      </c>
      <c r="B465" t="s">
        <v>31</v>
      </c>
      <c r="C465">
        <v>54</v>
      </c>
      <c r="D465" s="4" t="s">
        <v>23</v>
      </c>
      <c r="E465" s="5">
        <v>45057</v>
      </c>
      <c r="F465">
        <v>31</v>
      </c>
      <c r="G465">
        <v>3.3</v>
      </c>
      <c r="H465">
        <f>IF(MONTH(calls[[#This Row],[Date of Call]])&lt;=6, YEAR(calls[[#This Row],[Date of Call]]), YEAR(calls[[#This Row],[Date of Call]])+1)</f>
        <v>2023</v>
      </c>
      <c r="I465" t="str">
        <f>TEXT(calls[[#This Row],[Date of Call]],"DDDD")</f>
        <v>Thursday</v>
      </c>
      <c r="J465" t="str">
        <f t="array" ref="J465">_xlfn.IFS(calls[[#This Row],[Duration]]&lt;=10,"Under 10 mins", calls[[#This Row],[Duration]]&lt;=30, "10 to 30 mins", calls[[#This Row],[Duration]]&lt;=60, "30 to 60 mins", calls[[#This Row],[Duration]]&lt;=120, "1 to 2 hours", TRUE, "More than 2 hours")</f>
        <v>30 to 60 mins</v>
      </c>
      <c r="K465">
        <f>ROUND(calls[[#This Row],[Satisfaction Rating]],0)</f>
        <v>3</v>
      </c>
    </row>
    <row r="466" spans="1:11" ht="13.8" x14ac:dyDescent="0.25">
      <c r="A466" t="s">
        <v>495</v>
      </c>
      <c r="B466" t="s">
        <v>17</v>
      </c>
      <c r="C466">
        <v>25</v>
      </c>
      <c r="D466" s="4" t="s">
        <v>23</v>
      </c>
      <c r="E466" s="5">
        <v>45058</v>
      </c>
      <c r="F466">
        <v>27</v>
      </c>
      <c r="G466">
        <v>3.2</v>
      </c>
      <c r="H466">
        <f>IF(MONTH(calls[[#This Row],[Date of Call]])&lt;=6, YEAR(calls[[#This Row],[Date of Call]]), YEAR(calls[[#This Row],[Date of Call]])+1)</f>
        <v>2023</v>
      </c>
      <c r="I466" t="str">
        <f>TEXT(calls[[#This Row],[Date of Call]],"DDDD")</f>
        <v>Friday</v>
      </c>
      <c r="J466" t="str">
        <f t="array" ref="J466">_xlfn.IFS(calls[[#This Row],[Duration]]&lt;=10,"Under 10 mins", calls[[#This Row],[Duration]]&lt;=30, "10 to 30 mins", calls[[#This Row],[Duration]]&lt;=60, "30 to 60 mins", calls[[#This Row],[Duration]]&lt;=120, "1 to 2 hours", TRUE, "More than 2 hours")</f>
        <v>10 to 30 mins</v>
      </c>
      <c r="K466">
        <f>ROUND(calls[[#This Row],[Satisfaction Rating]],0)</f>
        <v>3</v>
      </c>
    </row>
    <row r="467" spans="1:11" ht="13.8" x14ac:dyDescent="0.25">
      <c r="A467" t="s">
        <v>496</v>
      </c>
      <c r="B467" t="s">
        <v>35</v>
      </c>
      <c r="C467">
        <v>91</v>
      </c>
      <c r="D467" s="4" t="s">
        <v>28</v>
      </c>
      <c r="E467" s="5">
        <v>45058</v>
      </c>
      <c r="F467">
        <v>76</v>
      </c>
      <c r="G467">
        <v>4.9000000000000004</v>
      </c>
      <c r="H467">
        <f>IF(MONTH(calls[[#This Row],[Date of Call]])&lt;=6, YEAR(calls[[#This Row],[Date of Call]]), YEAR(calls[[#This Row],[Date of Call]])+1)</f>
        <v>2023</v>
      </c>
      <c r="I467" t="str">
        <f>TEXT(calls[[#This Row],[Date of Call]],"DDDD")</f>
        <v>Friday</v>
      </c>
      <c r="J467" t="str">
        <f t="array" ref="J467">_xlfn.IFS(calls[[#This Row],[Duration]]&lt;=10,"Under 10 mins", calls[[#This Row],[Duration]]&lt;=30, "10 to 30 mins", calls[[#This Row],[Duration]]&lt;=60, "30 to 60 mins", calls[[#This Row],[Duration]]&lt;=120, "1 to 2 hours", TRUE, "More than 2 hours")</f>
        <v>1 to 2 hours</v>
      </c>
      <c r="K467">
        <f>ROUND(calls[[#This Row],[Satisfaction Rating]],0)</f>
        <v>5</v>
      </c>
    </row>
    <row r="468" spans="1:11" ht="13.8" x14ac:dyDescent="0.25">
      <c r="A468" t="s">
        <v>497</v>
      </c>
      <c r="B468" t="s">
        <v>22</v>
      </c>
      <c r="C468">
        <v>144</v>
      </c>
      <c r="D468" s="4" t="s">
        <v>32</v>
      </c>
      <c r="E468" s="5">
        <v>45058</v>
      </c>
      <c r="F468">
        <v>62</v>
      </c>
      <c r="G468">
        <v>4.8</v>
      </c>
      <c r="H468">
        <f>IF(MONTH(calls[[#This Row],[Date of Call]])&lt;=6, YEAR(calls[[#This Row],[Date of Call]]), YEAR(calls[[#This Row],[Date of Call]])+1)</f>
        <v>2023</v>
      </c>
      <c r="I468" t="str">
        <f>TEXT(calls[[#This Row],[Date of Call]],"DDDD")</f>
        <v>Friday</v>
      </c>
      <c r="J468" t="str">
        <f t="array" ref="J468">_xlfn.IFS(calls[[#This Row],[Duration]]&lt;=10,"Under 10 mins", calls[[#This Row],[Duration]]&lt;=30, "10 to 30 mins", calls[[#This Row],[Duration]]&lt;=60, "30 to 60 mins", calls[[#This Row],[Duration]]&lt;=120, "1 to 2 hours", TRUE, "More than 2 hours")</f>
        <v>More than 2 hours</v>
      </c>
      <c r="K468">
        <f>ROUND(calls[[#This Row],[Satisfaction Rating]],0)</f>
        <v>5</v>
      </c>
    </row>
    <row r="469" spans="1:11" ht="13.8" x14ac:dyDescent="0.25">
      <c r="A469" t="s">
        <v>498</v>
      </c>
      <c r="B469" t="s">
        <v>35</v>
      </c>
      <c r="C469">
        <v>81</v>
      </c>
      <c r="D469" s="4" t="s">
        <v>18</v>
      </c>
      <c r="E469" s="5">
        <v>45060</v>
      </c>
      <c r="F469">
        <v>100</v>
      </c>
      <c r="G469">
        <v>1.3</v>
      </c>
      <c r="H469">
        <f>IF(MONTH(calls[[#This Row],[Date of Call]])&lt;=6, YEAR(calls[[#This Row],[Date of Call]]), YEAR(calls[[#This Row],[Date of Call]])+1)</f>
        <v>2023</v>
      </c>
      <c r="I469" t="str">
        <f>TEXT(calls[[#This Row],[Date of Call]],"DDDD")</f>
        <v>Sunday</v>
      </c>
      <c r="J469" t="str">
        <f t="array" ref="J469">_xlfn.IFS(calls[[#This Row],[Duration]]&lt;=10,"Under 10 mins", calls[[#This Row],[Duration]]&lt;=30, "10 to 30 mins", calls[[#This Row],[Duration]]&lt;=60, "30 to 60 mins", calls[[#This Row],[Duration]]&lt;=120, "1 to 2 hours", TRUE, "More than 2 hours")</f>
        <v>1 to 2 hours</v>
      </c>
      <c r="K469">
        <f>ROUND(calls[[#This Row],[Satisfaction Rating]],0)</f>
        <v>1</v>
      </c>
    </row>
    <row r="470" spans="1:11" ht="13.8" x14ac:dyDescent="0.25">
      <c r="A470" t="s">
        <v>499</v>
      </c>
      <c r="B470" t="s">
        <v>64</v>
      </c>
      <c r="C470">
        <v>92</v>
      </c>
      <c r="D470" s="4" t="s">
        <v>23</v>
      </c>
      <c r="E470" s="5">
        <v>45060</v>
      </c>
      <c r="F470">
        <v>44</v>
      </c>
      <c r="G470">
        <v>3.1</v>
      </c>
      <c r="H470">
        <f>IF(MONTH(calls[[#This Row],[Date of Call]])&lt;=6, YEAR(calls[[#This Row],[Date of Call]]), YEAR(calls[[#This Row],[Date of Call]])+1)</f>
        <v>2023</v>
      </c>
      <c r="I470" t="str">
        <f>TEXT(calls[[#This Row],[Date of Call]],"DDDD")</f>
        <v>Sunday</v>
      </c>
      <c r="J470" t="str">
        <f t="array" ref="J470">_xlfn.IFS(calls[[#This Row],[Duration]]&lt;=10,"Under 10 mins", calls[[#This Row],[Duration]]&lt;=30, "10 to 30 mins", calls[[#This Row],[Duration]]&lt;=60, "30 to 60 mins", calls[[#This Row],[Duration]]&lt;=120, "1 to 2 hours", TRUE, "More than 2 hours")</f>
        <v>1 to 2 hours</v>
      </c>
      <c r="K470">
        <f>ROUND(calls[[#This Row],[Satisfaction Rating]],0)</f>
        <v>3</v>
      </c>
    </row>
    <row r="471" spans="1:11" ht="13.8" x14ac:dyDescent="0.25">
      <c r="A471" t="s">
        <v>500</v>
      </c>
      <c r="B471" t="s">
        <v>17</v>
      </c>
      <c r="C471">
        <v>115</v>
      </c>
      <c r="D471" s="4" t="s">
        <v>28</v>
      </c>
      <c r="E471" s="5">
        <v>45060</v>
      </c>
      <c r="F471">
        <v>168</v>
      </c>
      <c r="G471">
        <v>3.4</v>
      </c>
      <c r="H471">
        <f>IF(MONTH(calls[[#This Row],[Date of Call]])&lt;=6, YEAR(calls[[#This Row],[Date of Call]]), YEAR(calls[[#This Row],[Date of Call]])+1)</f>
        <v>2023</v>
      </c>
      <c r="I471" t="str">
        <f>TEXT(calls[[#This Row],[Date of Call]],"DDDD")</f>
        <v>Sunday</v>
      </c>
      <c r="J471" t="str">
        <f t="array" ref="J471">_xlfn.IFS(calls[[#This Row],[Duration]]&lt;=10,"Under 10 mins", calls[[#This Row],[Duration]]&lt;=30, "10 to 30 mins", calls[[#This Row],[Duration]]&lt;=60, "30 to 60 mins", calls[[#This Row],[Duration]]&lt;=120, "1 to 2 hours", TRUE, "More than 2 hours")</f>
        <v>1 to 2 hours</v>
      </c>
      <c r="K471">
        <f>ROUND(calls[[#This Row],[Satisfaction Rating]],0)</f>
        <v>3</v>
      </c>
    </row>
    <row r="472" spans="1:11" ht="13.8" x14ac:dyDescent="0.25">
      <c r="A472" t="s">
        <v>501</v>
      </c>
      <c r="B472" t="s">
        <v>26</v>
      </c>
      <c r="C472">
        <v>56</v>
      </c>
      <c r="D472" s="4" t="s">
        <v>28</v>
      </c>
      <c r="E472" s="5">
        <v>45061</v>
      </c>
      <c r="F472">
        <v>200</v>
      </c>
      <c r="G472">
        <v>4.5999999999999996</v>
      </c>
      <c r="H472">
        <f>IF(MONTH(calls[[#This Row],[Date of Call]])&lt;=6, YEAR(calls[[#This Row],[Date of Call]]), YEAR(calls[[#This Row],[Date of Call]])+1)</f>
        <v>2023</v>
      </c>
      <c r="I472" t="str">
        <f>TEXT(calls[[#This Row],[Date of Call]],"DDDD")</f>
        <v>Monday</v>
      </c>
      <c r="J472" t="str">
        <f t="array" ref="J472">_xlfn.IFS(calls[[#This Row],[Duration]]&lt;=10,"Under 10 mins", calls[[#This Row],[Duration]]&lt;=30, "10 to 30 mins", calls[[#This Row],[Duration]]&lt;=60, "30 to 60 mins", calls[[#This Row],[Duration]]&lt;=120, "1 to 2 hours", TRUE, "More than 2 hours")</f>
        <v>30 to 60 mins</v>
      </c>
      <c r="K472">
        <f>ROUND(calls[[#This Row],[Satisfaction Rating]],0)</f>
        <v>5</v>
      </c>
    </row>
    <row r="473" spans="1:11" ht="13.8" x14ac:dyDescent="0.25">
      <c r="A473" t="s">
        <v>502</v>
      </c>
      <c r="B473" t="s">
        <v>15</v>
      </c>
      <c r="C473">
        <v>154</v>
      </c>
      <c r="D473" s="4" t="s">
        <v>23</v>
      </c>
      <c r="E473" s="5">
        <v>45061</v>
      </c>
      <c r="F473">
        <v>84</v>
      </c>
      <c r="G473">
        <v>4.3</v>
      </c>
      <c r="H473">
        <f>IF(MONTH(calls[[#This Row],[Date of Call]])&lt;=6, YEAR(calls[[#This Row],[Date of Call]]), YEAR(calls[[#This Row],[Date of Call]])+1)</f>
        <v>2023</v>
      </c>
      <c r="I473" t="str">
        <f>TEXT(calls[[#This Row],[Date of Call]],"DDDD")</f>
        <v>Monday</v>
      </c>
      <c r="J473" t="str">
        <f t="array" ref="J473">_xlfn.IFS(calls[[#This Row],[Duration]]&lt;=10,"Under 10 mins", calls[[#This Row],[Duration]]&lt;=30, "10 to 30 mins", calls[[#This Row],[Duration]]&lt;=60, "30 to 60 mins", calls[[#This Row],[Duration]]&lt;=120, "1 to 2 hours", TRUE, "More than 2 hours")</f>
        <v>More than 2 hours</v>
      </c>
      <c r="K473">
        <f>ROUND(calls[[#This Row],[Satisfaction Rating]],0)</f>
        <v>4</v>
      </c>
    </row>
    <row r="474" spans="1:11" ht="13.8" x14ac:dyDescent="0.25">
      <c r="A474" t="s">
        <v>503</v>
      </c>
      <c r="B474" t="s">
        <v>84</v>
      </c>
      <c r="C474">
        <v>51</v>
      </c>
      <c r="D474" s="4" t="s">
        <v>28</v>
      </c>
      <c r="E474" s="5">
        <v>45062</v>
      </c>
      <c r="F474">
        <v>117</v>
      </c>
      <c r="G474">
        <v>2.7</v>
      </c>
      <c r="H474">
        <f>IF(MONTH(calls[[#This Row],[Date of Call]])&lt;=6, YEAR(calls[[#This Row],[Date of Call]]), YEAR(calls[[#This Row],[Date of Call]])+1)</f>
        <v>2023</v>
      </c>
      <c r="I474" t="str">
        <f>TEXT(calls[[#This Row],[Date of Call]],"DDDD")</f>
        <v>Tuesday</v>
      </c>
      <c r="J474" t="str">
        <f t="array" ref="J474">_xlfn.IFS(calls[[#This Row],[Duration]]&lt;=10,"Under 10 mins", calls[[#This Row],[Duration]]&lt;=30, "10 to 30 mins", calls[[#This Row],[Duration]]&lt;=60, "30 to 60 mins", calls[[#This Row],[Duration]]&lt;=120, "1 to 2 hours", TRUE, "More than 2 hours")</f>
        <v>30 to 60 mins</v>
      </c>
      <c r="K474">
        <f>ROUND(calls[[#This Row],[Satisfaction Rating]],0)</f>
        <v>3</v>
      </c>
    </row>
    <row r="475" spans="1:11" ht="13.8" x14ac:dyDescent="0.25">
      <c r="A475" t="s">
        <v>504</v>
      </c>
      <c r="B475" t="s">
        <v>46</v>
      </c>
      <c r="C475">
        <v>21</v>
      </c>
      <c r="D475" s="4" t="s">
        <v>18</v>
      </c>
      <c r="E475" s="5">
        <v>45062</v>
      </c>
      <c r="F475">
        <v>63</v>
      </c>
      <c r="G475">
        <v>4.2</v>
      </c>
      <c r="H475">
        <f>IF(MONTH(calls[[#This Row],[Date of Call]])&lt;=6, YEAR(calls[[#This Row],[Date of Call]]), YEAR(calls[[#This Row],[Date of Call]])+1)</f>
        <v>2023</v>
      </c>
      <c r="I475" t="str">
        <f>TEXT(calls[[#This Row],[Date of Call]],"DDDD")</f>
        <v>Tuesday</v>
      </c>
      <c r="J475" t="str">
        <f t="array" ref="J475">_xlfn.IFS(calls[[#This Row],[Duration]]&lt;=10,"Under 10 mins", calls[[#This Row],[Duration]]&lt;=30, "10 to 30 mins", calls[[#This Row],[Duration]]&lt;=60, "30 to 60 mins", calls[[#This Row],[Duration]]&lt;=120, "1 to 2 hours", TRUE, "More than 2 hours")</f>
        <v>10 to 30 mins</v>
      </c>
      <c r="K475">
        <f>ROUND(calls[[#This Row],[Satisfaction Rating]],0)</f>
        <v>4</v>
      </c>
    </row>
    <row r="476" spans="1:11" ht="13.8" x14ac:dyDescent="0.25">
      <c r="A476" t="s">
        <v>505</v>
      </c>
      <c r="B476" t="s">
        <v>17</v>
      </c>
      <c r="C476">
        <v>80</v>
      </c>
      <c r="D476" s="4" t="s">
        <v>28</v>
      </c>
      <c r="E476" s="5">
        <v>45063</v>
      </c>
      <c r="F476">
        <v>145</v>
      </c>
      <c r="G476">
        <v>4.9000000000000004</v>
      </c>
      <c r="H476">
        <f>IF(MONTH(calls[[#This Row],[Date of Call]])&lt;=6, YEAR(calls[[#This Row],[Date of Call]]), YEAR(calls[[#This Row],[Date of Call]])+1)</f>
        <v>2023</v>
      </c>
      <c r="I476" t="str">
        <f>TEXT(calls[[#This Row],[Date of Call]],"DDDD")</f>
        <v>Wednesday</v>
      </c>
      <c r="J476" t="str">
        <f t="array" ref="J476">_xlfn.IFS(calls[[#This Row],[Duration]]&lt;=10,"Under 10 mins", calls[[#This Row],[Duration]]&lt;=30, "10 to 30 mins", calls[[#This Row],[Duration]]&lt;=60, "30 to 60 mins", calls[[#This Row],[Duration]]&lt;=120, "1 to 2 hours", TRUE, "More than 2 hours")</f>
        <v>1 to 2 hours</v>
      </c>
      <c r="K476">
        <f>ROUND(calls[[#This Row],[Satisfaction Rating]],0)</f>
        <v>5</v>
      </c>
    </row>
    <row r="477" spans="1:11" ht="13.8" x14ac:dyDescent="0.25">
      <c r="A477" t="s">
        <v>506</v>
      </c>
      <c r="B477" t="s">
        <v>84</v>
      </c>
      <c r="C477">
        <v>139</v>
      </c>
      <c r="D477" s="4" t="s">
        <v>23</v>
      </c>
      <c r="E477" s="5">
        <v>45063</v>
      </c>
      <c r="F477">
        <v>220</v>
      </c>
      <c r="G477">
        <v>3.2</v>
      </c>
      <c r="H477">
        <f>IF(MONTH(calls[[#This Row],[Date of Call]])&lt;=6, YEAR(calls[[#This Row],[Date of Call]]), YEAR(calls[[#This Row],[Date of Call]])+1)</f>
        <v>2023</v>
      </c>
      <c r="I477" t="str">
        <f>TEXT(calls[[#This Row],[Date of Call]],"DDDD")</f>
        <v>Wednesday</v>
      </c>
      <c r="J477" t="str">
        <f t="array" ref="J477">_xlfn.IFS(calls[[#This Row],[Duration]]&lt;=10,"Under 10 mins", calls[[#This Row],[Duration]]&lt;=30, "10 to 30 mins", calls[[#This Row],[Duration]]&lt;=60, "30 to 60 mins", calls[[#This Row],[Duration]]&lt;=120, "1 to 2 hours", TRUE, "More than 2 hours")</f>
        <v>More than 2 hours</v>
      </c>
      <c r="K477">
        <f>ROUND(calls[[#This Row],[Satisfaction Rating]],0)</f>
        <v>3</v>
      </c>
    </row>
    <row r="478" spans="1:11" ht="13.8" x14ac:dyDescent="0.25">
      <c r="A478" t="s">
        <v>507</v>
      </c>
      <c r="B478" t="s">
        <v>37</v>
      </c>
      <c r="C478">
        <v>50</v>
      </c>
      <c r="D478" s="4" t="s">
        <v>18</v>
      </c>
      <c r="E478" s="5">
        <v>45063</v>
      </c>
      <c r="F478">
        <v>26</v>
      </c>
      <c r="G478">
        <v>4.7</v>
      </c>
      <c r="H478">
        <f>IF(MONTH(calls[[#This Row],[Date of Call]])&lt;=6, YEAR(calls[[#This Row],[Date of Call]]), YEAR(calls[[#This Row],[Date of Call]])+1)</f>
        <v>2023</v>
      </c>
      <c r="I478" t="str">
        <f>TEXT(calls[[#This Row],[Date of Call]],"DDDD")</f>
        <v>Wednesday</v>
      </c>
      <c r="J478" t="str">
        <f t="array" ref="J478">_xlfn.IFS(calls[[#This Row],[Duration]]&lt;=10,"Under 10 mins", calls[[#This Row],[Duration]]&lt;=30, "10 to 30 mins", calls[[#This Row],[Duration]]&lt;=60, "30 to 60 mins", calls[[#This Row],[Duration]]&lt;=120, "1 to 2 hours", TRUE, "More than 2 hours")</f>
        <v>30 to 60 mins</v>
      </c>
      <c r="K478">
        <f>ROUND(calls[[#This Row],[Satisfaction Rating]],0)</f>
        <v>5</v>
      </c>
    </row>
    <row r="479" spans="1:11" ht="13.8" x14ac:dyDescent="0.25">
      <c r="A479" t="s">
        <v>508</v>
      </c>
      <c r="B479" t="s">
        <v>17</v>
      </c>
      <c r="C479">
        <v>88</v>
      </c>
      <c r="D479" s="4" t="s">
        <v>28</v>
      </c>
      <c r="E479" s="5">
        <v>45063</v>
      </c>
      <c r="F479">
        <v>78</v>
      </c>
      <c r="G479">
        <v>4.3</v>
      </c>
      <c r="H479">
        <f>IF(MONTH(calls[[#This Row],[Date of Call]])&lt;=6, YEAR(calls[[#This Row],[Date of Call]]), YEAR(calls[[#This Row],[Date of Call]])+1)</f>
        <v>2023</v>
      </c>
      <c r="I479" t="str">
        <f>TEXT(calls[[#This Row],[Date of Call]],"DDDD")</f>
        <v>Wednesday</v>
      </c>
      <c r="J479" t="str">
        <f t="array" ref="J479">_xlfn.IFS(calls[[#This Row],[Duration]]&lt;=10,"Under 10 mins", calls[[#This Row],[Duration]]&lt;=30, "10 to 30 mins", calls[[#This Row],[Duration]]&lt;=60, "30 to 60 mins", calls[[#This Row],[Duration]]&lt;=120, "1 to 2 hours", TRUE, "More than 2 hours")</f>
        <v>1 to 2 hours</v>
      </c>
      <c r="K479">
        <f>ROUND(calls[[#This Row],[Satisfaction Rating]],0)</f>
        <v>4</v>
      </c>
    </row>
    <row r="480" spans="1:11" ht="13.8" x14ac:dyDescent="0.25">
      <c r="A480" t="s">
        <v>509</v>
      </c>
      <c r="B480" t="s">
        <v>31</v>
      </c>
      <c r="C480">
        <v>19</v>
      </c>
      <c r="D480" s="4" t="s">
        <v>32</v>
      </c>
      <c r="E480" s="5">
        <v>45064</v>
      </c>
      <c r="F480">
        <v>132</v>
      </c>
      <c r="G480">
        <v>4.3</v>
      </c>
      <c r="H480">
        <f>IF(MONTH(calls[[#This Row],[Date of Call]])&lt;=6, YEAR(calls[[#This Row],[Date of Call]]), YEAR(calls[[#This Row],[Date of Call]])+1)</f>
        <v>2023</v>
      </c>
      <c r="I480" t="str">
        <f>TEXT(calls[[#This Row],[Date of Call]],"DDDD")</f>
        <v>Thursday</v>
      </c>
      <c r="J480" t="str">
        <f t="array" ref="J480">_xlfn.IFS(calls[[#This Row],[Duration]]&lt;=10,"Under 10 mins", calls[[#This Row],[Duration]]&lt;=30, "10 to 30 mins", calls[[#This Row],[Duration]]&lt;=60, "30 to 60 mins", calls[[#This Row],[Duration]]&lt;=120, "1 to 2 hours", TRUE, "More than 2 hours")</f>
        <v>10 to 30 mins</v>
      </c>
      <c r="K480">
        <f>ROUND(calls[[#This Row],[Satisfaction Rating]],0)</f>
        <v>4</v>
      </c>
    </row>
    <row r="481" spans="1:11" ht="13.8" x14ac:dyDescent="0.25">
      <c r="A481" t="s">
        <v>510</v>
      </c>
      <c r="B481" t="s">
        <v>43</v>
      </c>
      <c r="C481">
        <v>104</v>
      </c>
      <c r="D481" s="4" t="s">
        <v>32</v>
      </c>
      <c r="E481" s="5">
        <v>45065</v>
      </c>
      <c r="F481">
        <v>68</v>
      </c>
      <c r="G481">
        <v>3.7</v>
      </c>
      <c r="H481">
        <f>IF(MONTH(calls[[#This Row],[Date of Call]])&lt;=6, YEAR(calls[[#This Row],[Date of Call]]), YEAR(calls[[#This Row],[Date of Call]])+1)</f>
        <v>2023</v>
      </c>
      <c r="I481" t="str">
        <f>TEXT(calls[[#This Row],[Date of Call]],"DDDD")</f>
        <v>Friday</v>
      </c>
      <c r="J481" t="str">
        <f t="array" ref="J481">_xlfn.IFS(calls[[#This Row],[Duration]]&lt;=10,"Under 10 mins", calls[[#This Row],[Duration]]&lt;=30, "10 to 30 mins", calls[[#This Row],[Duration]]&lt;=60, "30 to 60 mins", calls[[#This Row],[Duration]]&lt;=120, "1 to 2 hours", TRUE, "More than 2 hours")</f>
        <v>1 to 2 hours</v>
      </c>
      <c r="K481">
        <f>ROUND(calls[[#This Row],[Satisfaction Rating]],0)</f>
        <v>4</v>
      </c>
    </row>
    <row r="482" spans="1:11" ht="13.8" x14ac:dyDescent="0.25">
      <c r="A482" t="s">
        <v>511</v>
      </c>
      <c r="B482" t="s">
        <v>15</v>
      </c>
      <c r="C482">
        <v>67</v>
      </c>
      <c r="D482" s="4" t="s">
        <v>23</v>
      </c>
      <c r="E482" s="5">
        <v>45067</v>
      </c>
      <c r="F482">
        <v>129</v>
      </c>
      <c r="G482">
        <v>4.7</v>
      </c>
      <c r="H482">
        <f>IF(MONTH(calls[[#This Row],[Date of Call]])&lt;=6, YEAR(calls[[#This Row],[Date of Call]]), YEAR(calls[[#This Row],[Date of Call]])+1)</f>
        <v>2023</v>
      </c>
      <c r="I482" t="str">
        <f>TEXT(calls[[#This Row],[Date of Call]],"DDDD")</f>
        <v>Sunday</v>
      </c>
      <c r="J482" t="str">
        <f t="array" ref="J482">_xlfn.IFS(calls[[#This Row],[Duration]]&lt;=10,"Under 10 mins", calls[[#This Row],[Duration]]&lt;=30, "10 to 30 mins", calls[[#This Row],[Duration]]&lt;=60, "30 to 60 mins", calls[[#This Row],[Duration]]&lt;=120, "1 to 2 hours", TRUE, "More than 2 hours")</f>
        <v>1 to 2 hours</v>
      </c>
      <c r="K482">
        <f>ROUND(calls[[#This Row],[Satisfaction Rating]],0)</f>
        <v>5</v>
      </c>
    </row>
    <row r="483" spans="1:11" ht="13.8" x14ac:dyDescent="0.25">
      <c r="A483" t="s">
        <v>512</v>
      </c>
      <c r="B483" t="s">
        <v>54</v>
      </c>
      <c r="C483">
        <v>107</v>
      </c>
      <c r="D483" s="4" t="s">
        <v>32</v>
      </c>
      <c r="E483" s="5">
        <v>45067</v>
      </c>
      <c r="F483">
        <v>115</v>
      </c>
      <c r="G483">
        <v>4.9000000000000004</v>
      </c>
      <c r="H483">
        <f>IF(MONTH(calls[[#This Row],[Date of Call]])&lt;=6, YEAR(calls[[#This Row],[Date of Call]]), YEAR(calls[[#This Row],[Date of Call]])+1)</f>
        <v>2023</v>
      </c>
      <c r="I483" t="str">
        <f>TEXT(calls[[#This Row],[Date of Call]],"DDDD")</f>
        <v>Sunday</v>
      </c>
      <c r="J483" t="str">
        <f t="array" ref="J483">_xlfn.IFS(calls[[#This Row],[Duration]]&lt;=10,"Under 10 mins", calls[[#This Row],[Duration]]&lt;=30, "10 to 30 mins", calls[[#This Row],[Duration]]&lt;=60, "30 to 60 mins", calls[[#This Row],[Duration]]&lt;=120, "1 to 2 hours", TRUE, "More than 2 hours")</f>
        <v>1 to 2 hours</v>
      </c>
      <c r="K483">
        <f>ROUND(calls[[#This Row],[Satisfaction Rating]],0)</f>
        <v>5</v>
      </c>
    </row>
    <row r="484" spans="1:11" ht="13.8" x14ac:dyDescent="0.25">
      <c r="A484" t="s">
        <v>513</v>
      </c>
      <c r="B484" t="s">
        <v>54</v>
      </c>
      <c r="C484">
        <v>93</v>
      </c>
      <c r="D484" s="4" t="s">
        <v>32</v>
      </c>
      <c r="E484" s="5">
        <v>45067</v>
      </c>
      <c r="F484">
        <v>128</v>
      </c>
      <c r="G484">
        <v>3.9</v>
      </c>
      <c r="H484">
        <f>IF(MONTH(calls[[#This Row],[Date of Call]])&lt;=6, YEAR(calls[[#This Row],[Date of Call]]), YEAR(calls[[#This Row],[Date of Call]])+1)</f>
        <v>2023</v>
      </c>
      <c r="I484" t="str">
        <f>TEXT(calls[[#This Row],[Date of Call]],"DDDD")</f>
        <v>Sunday</v>
      </c>
      <c r="J484" t="str">
        <f t="array" ref="J484">_xlfn.IFS(calls[[#This Row],[Duration]]&lt;=10,"Under 10 mins", calls[[#This Row],[Duration]]&lt;=30, "10 to 30 mins", calls[[#This Row],[Duration]]&lt;=60, "30 to 60 mins", calls[[#This Row],[Duration]]&lt;=120, "1 to 2 hours", TRUE, "More than 2 hours")</f>
        <v>1 to 2 hours</v>
      </c>
      <c r="K484">
        <f>ROUND(calls[[#This Row],[Satisfaction Rating]],0)</f>
        <v>4</v>
      </c>
    </row>
    <row r="485" spans="1:11" ht="13.8" x14ac:dyDescent="0.25">
      <c r="A485" t="s">
        <v>514</v>
      </c>
      <c r="B485" t="s">
        <v>54</v>
      </c>
      <c r="C485">
        <v>117</v>
      </c>
      <c r="D485" s="4" t="s">
        <v>23</v>
      </c>
      <c r="E485" s="5">
        <v>45067</v>
      </c>
      <c r="F485">
        <v>90</v>
      </c>
      <c r="G485">
        <v>4.5</v>
      </c>
      <c r="H485">
        <f>IF(MONTH(calls[[#This Row],[Date of Call]])&lt;=6, YEAR(calls[[#This Row],[Date of Call]]), YEAR(calls[[#This Row],[Date of Call]])+1)</f>
        <v>2023</v>
      </c>
      <c r="I485" t="str">
        <f>TEXT(calls[[#This Row],[Date of Call]],"DDDD")</f>
        <v>Sunday</v>
      </c>
      <c r="J485" t="str">
        <f t="array" ref="J485">_xlfn.IFS(calls[[#This Row],[Duration]]&lt;=10,"Under 10 mins", calls[[#This Row],[Duration]]&lt;=30, "10 to 30 mins", calls[[#This Row],[Duration]]&lt;=60, "30 to 60 mins", calls[[#This Row],[Duration]]&lt;=120, "1 to 2 hours", TRUE, "More than 2 hours")</f>
        <v>1 to 2 hours</v>
      </c>
      <c r="K485">
        <f>ROUND(calls[[#This Row],[Satisfaction Rating]],0)</f>
        <v>5</v>
      </c>
    </row>
    <row r="486" spans="1:11" ht="13.8" x14ac:dyDescent="0.25">
      <c r="A486" t="s">
        <v>515</v>
      </c>
      <c r="B486" t="s">
        <v>37</v>
      </c>
      <c r="C486">
        <v>76</v>
      </c>
      <c r="D486" s="4" t="s">
        <v>28</v>
      </c>
      <c r="E486" s="5">
        <v>45068</v>
      </c>
      <c r="F486">
        <v>39</v>
      </c>
      <c r="G486">
        <v>4.5999999999999996</v>
      </c>
      <c r="H486">
        <f>IF(MONTH(calls[[#This Row],[Date of Call]])&lt;=6, YEAR(calls[[#This Row],[Date of Call]]), YEAR(calls[[#This Row],[Date of Call]])+1)</f>
        <v>2023</v>
      </c>
      <c r="I486" t="str">
        <f>TEXT(calls[[#This Row],[Date of Call]],"DDDD")</f>
        <v>Monday</v>
      </c>
      <c r="J486" t="str">
        <f t="array" ref="J486">_xlfn.IFS(calls[[#This Row],[Duration]]&lt;=10,"Under 10 mins", calls[[#This Row],[Duration]]&lt;=30, "10 to 30 mins", calls[[#This Row],[Duration]]&lt;=60, "30 to 60 mins", calls[[#This Row],[Duration]]&lt;=120, "1 to 2 hours", TRUE, "More than 2 hours")</f>
        <v>1 to 2 hours</v>
      </c>
      <c r="K486">
        <f>ROUND(calls[[#This Row],[Satisfaction Rating]],0)</f>
        <v>5</v>
      </c>
    </row>
    <row r="487" spans="1:11" ht="13.8" x14ac:dyDescent="0.25">
      <c r="A487" t="s">
        <v>516</v>
      </c>
      <c r="B487" t="s">
        <v>31</v>
      </c>
      <c r="C487">
        <v>64</v>
      </c>
      <c r="D487" s="4" t="s">
        <v>32</v>
      </c>
      <c r="E487" s="5">
        <v>45068</v>
      </c>
      <c r="F487">
        <v>132</v>
      </c>
      <c r="G487">
        <v>3.3</v>
      </c>
      <c r="H487">
        <f>IF(MONTH(calls[[#This Row],[Date of Call]])&lt;=6, YEAR(calls[[#This Row],[Date of Call]]), YEAR(calls[[#This Row],[Date of Call]])+1)</f>
        <v>2023</v>
      </c>
      <c r="I487" t="str">
        <f>TEXT(calls[[#This Row],[Date of Call]],"DDDD")</f>
        <v>Monday</v>
      </c>
      <c r="J487" t="str">
        <f t="array" ref="J487">_xlfn.IFS(calls[[#This Row],[Duration]]&lt;=10,"Under 10 mins", calls[[#This Row],[Duration]]&lt;=30, "10 to 30 mins", calls[[#This Row],[Duration]]&lt;=60, "30 to 60 mins", calls[[#This Row],[Duration]]&lt;=120, "1 to 2 hours", TRUE, "More than 2 hours")</f>
        <v>1 to 2 hours</v>
      </c>
      <c r="K487">
        <f>ROUND(calls[[#This Row],[Satisfaction Rating]],0)</f>
        <v>3</v>
      </c>
    </row>
    <row r="488" spans="1:11" ht="13.8" x14ac:dyDescent="0.25">
      <c r="A488" t="s">
        <v>517</v>
      </c>
      <c r="B488" t="s">
        <v>22</v>
      </c>
      <c r="C488">
        <v>33</v>
      </c>
      <c r="D488" s="4" t="s">
        <v>32</v>
      </c>
      <c r="E488" s="5">
        <v>45068</v>
      </c>
      <c r="F488">
        <v>170</v>
      </c>
      <c r="G488">
        <v>3.8</v>
      </c>
      <c r="H488">
        <f>IF(MONTH(calls[[#This Row],[Date of Call]])&lt;=6, YEAR(calls[[#This Row],[Date of Call]]), YEAR(calls[[#This Row],[Date of Call]])+1)</f>
        <v>2023</v>
      </c>
      <c r="I488" t="str">
        <f>TEXT(calls[[#This Row],[Date of Call]],"DDDD")</f>
        <v>Monday</v>
      </c>
      <c r="J488" t="str">
        <f t="array" ref="J488">_xlfn.IFS(calls[[#This Row],[Duration]]&lt;=10,"Under 10 mins", calls[[#This Row],[Duration]]&lt;=30, "10 to 30 mins", calls[[#This Row],[Duration]]&lt;=60, "30 to 60 mins", calls[[#This Row],[Duration]]&lt;=120, "1 to 2 hours", TRUE, "More than 2 hours")</f>
        <v>30 to 60 mins</v>
      </c>
      <c r="K488">
        <f>ROUND(calls[[#This Row],[Satisfaction Rating]],0)</f>
        <v>4</v>
      </c>
    </row>
    <row r="489" spans="1:11" ht="13.8" x14ac:dyDescent="0.25">
      <c r="A489" t="s">
        <v>518</v>
      </c>
      <c r="B489" t="s">
        <v>54</v>
      </c>
      <c r="C489">
        <v>115</v>
      </c>
      <c r="D489" s="4" t="s">
        <v>23</v>
      </c>
      <c r="E489" s="5">
        <v>45068</v>
      </c>
      <c r="F489">
        <v>42</v>
      </c>
      <c r="G489">
        <v>4.7</v>
      </c>
      <c r="H489">
        <f>IF(MONTH(calls[[#This Row],[Date of Call]])&lt;=6, YEAR(calls[[#This Row],[Date of Call]]), YEAR(calls[[#This Row],[Date of Call]])+1)</f>
        <v>2023</v>
      </c>
      <c r="I489" t="str">
        <f>TEXT(calls[[#This Row],[Date of Call]],"DDDD")</f>
        <v>Monday</v>
      </c>
      <c r="J489" t="str">
        <f t="array" ref="J489">_xlfn.IFS(calls[[#This Row],[Duration]]&lt;=10,"Under 10 mins", calls[[#This Row],[Duration]]&lt;=30, "10 to 30 mins", calls[[#This Row],[Duration]]&lt;=60, "30 to 60 mins", calls[[#This Row],[Duration]]&lt;=120, "1 to 2 hours", TRUE, "More than 2 hours")</f>
        <v>1 to 2 hours</v>
      </c>
      <c r="K489">
        <f>ROUND(calls[[#This Row],[Satisfaction Rating]],0)</f>
        <v>5</v>
      </c>
    </row>
    <row r="490" spans="1:11" ht="13.8" x14ac:dyDescent="0.25">
      <c r="A490" t="s">
        <v>519</v>
      </c>
      <c r="B490" t="s">
        <v>20</v>
      </c>
      <c r="C490">
        <v>155</v>
      </c>
      <c r="D490" s="4" t="s">
        <v>28</v>
      </c>
      <c r="E490" s="5">
        <v>45069</v>
      </c>
      <c r="F490">
        <v>37</v>
      </c>
      <c r="G490">
        <v>4</v>
      </c>
      <c r="H490">
        <f>IF(MONTH(calls[[#This Row],[Date of Call]])&lt;=6, YEAR(calls[[#This Row],[Date of Call]]), YEAR(calls[[#This Row],[Date of Call]])+1)</f>
        <v>2023</v>
      </c>
      <c r="I490" t="str">
        <f>TEXT(calls[[#This Row],[Date of Call]],"DDDD")</f>
        <v>Tuesday</v>
      </c>
      <c r="J490" t="str">
        <f t="array" ref="J490">_xlfn.IFS(calls[[#This Row],[Duration]]&lt;=10,"Under 10 mins", calls[[#This Row],[Duration]]&lt;=30, "10 to 30 mins", calls[[#This Row],[Duration]]&lt;=60, "30 to 60 mins", calls[[#This Row],[Duration]]&lt;=120, "1 to 2 hours", TRUE, "More than 2 hours")</f>
        <v>More than 2 hours</v>
      </c>
      <c r="K490">
        <f>ROUND(calls[[#This Row],[Satisfaction Rating]],0)</f>
        <v>4</v>
      </c>
    </row>
    <row r="491" spans="1:11" ht="13.8" x14ac:dyDescent="0.25">
      <c r="A491" t="s">
        <v>520</v>
      </c>
      <c r="B491" t="s">
        <v>15</v>
      </c>
      <c r="C491">
        <v>117</v>
      </c>
      <c r="D491" s="4" t="s">
        <v>28</v>
      </c>
      <c r="E491" s="5">
        <v>45069</v>
      </c>
      <c r="F491">
        <v>88</v>
      </c>
      <c r="G491">
        <v>4.7</v>
      </c>
      <c r="H491">
        <f>IF(MONTH(calls[[#This Row],[Date of Call]])&lt;=6, YEAR(calls[[#This Row],[Date of Call]]), YEAR(calls[[#This Row],[Date of Call]])+1)</f>
        <v>2023</v>
      </c>
      <c r="I491" t="str">
        <f>TEXT(calls[[#This Row],[Date of Call]],"DDDD")</f>
        <v>Tuesday</v>
      </c>
      <c r="J491" t="str">
        <f t="array" ref="J491">_xlfn.IFS(calls[[#This Row],[Duration]]&lt;=10,"Under 10 mins", calls[[#This Row],[Duration]]&lt;=30, "10 to 30 mins", calls[[#This Row],[Duration]]&lt;=60, "30 to 60 mins", calls[[#This Row],[Duration]]&lt;=120, "1 to 2 hours", TRUE, "More than 2 hours")</f>
        <v>1 to 2 hours</v>
      </c>
      <c r="K491">
        <f>ROUND(calls[[#This Row],[Satisfaction Rating]],0)</f>
        <v>5</v>
      </c>
    </row>
    <row r="492" spans="1:11" ht="13.8" x14ac:dyDescent="0.25">
      <c r="A492" t="s">
        <v>521</v>
      </c>
      <c r="B492" t="s">
        <v>84</v>
      </c>
      <c r="C492">
        <v>63</v>
      </c>
      <c r="D492" s="4" t="s">
        <v>28</v>
      </c>
      <c r="E492" s="5">
        <v>45069</v>
      </c>
      <c r="F492">
        <v>80</v>
      </c>
      <c r="G492">
        <v>2.5</v>
      </c>
      <c r="H492">
        <f>IF(MONTH(calls[[#This Row],[Date of Call]])&lt;=6, YEAR(calls[[#This Row],[Date of Call]]), YEAR(calls[[#This Row],[Date of Call]])+1)</f>
        <v>2023</v>
      </c>
      <c r="I492" t="str">
        <f>TEXT(calls[[#This Row],[Date of Call]],"DDDD")</f>
        <v>Tuesday</v>
      </c>
      <c r="J492" t="str">
        <f t="array" ref="J492">_xlfn.IFS(calls[[#This Row],[Duration]]&lt;=10,"Under 10 mins", calls[[#This Row],[Duration]]&lt;=30, "10 to 30 mins", calls[[#This Row],[Duration]]&lt;=60, "30 to 60 mins", calls[[#This Row],[Duration]]&lt;=120, "1 to 2 hours", TRUE, "More than 2 hours")</f>
        <v>1 to 2 hours</v>
      </c>
      <c r="K492">
        <f>ROUND(calls[[#This Row],[Satisfaction Rating]],0)</f>
        <v>3</v>
      </c>
    </row>
    <row r="493" spans="1:11" ht="13.8" x14ac:dyDescent="0.25">
      <c r="A493" t="s">
        <v>522</v>
      </c>
      <c r="B493" t="s">
        <v>31</v>
      </c>
      <c r="C493">
        <v>59</v>
      </c>
      <c r="D493" s="4" t="s">
        <v>13</v>
      </c>
      <c r="E493" s="5">
        <v>45070</v>
      </c>
      <c r="F493">
        <v>123</v>
      </c>
      <c r="G493">
        <v>3.6</v>
      </c>
      <c r="H493">
        <f>IF(MONTH(calls[[#This Row],[Date of Call]])&lt;=6, YEAR(calls[[#This Row],[Date of Call]]), YEAR(calls[[#This Row],[Date of Call]])+1)</f>
        <v>2023</v>
      </c>
      <c r="I493" t="str">
        <f>TEXT(calls[[#This Row],[Date of Call]],"DDDD")</f>
        <v>Wednesday</v>
      </c>
      <c r="J493" t="str">
        <f t="array" ref="J493">_xlfn.IFS(calls[[#This Row],[Duration]]&lt;=10,"Under 10 mins", calls[[#This Row],[Duration]]&lt;=30, "10 to 30 mins", calls[[#This Row],[Duration]]&lt;=60, "30 to 60 mins", calls[[#This Row],[Duration]]&lt;=120, "1 to 2 hours", TRUE, "More than 2 hours")</f>
        <v>30 to 60 mins</v>
      </c>
      <c r="K493">
        <f>ROUND(calls[[#This Row],[Satisfaction Rating]],0)</f>
        <v>4</v>
      </c>
    </row>
    <row r="494" spans="1:11" ht="13.8" x14ac:dyDescent="0.25">
      <c r="A494" t="s">
        <v>523</v>
      </c>
      <c r="B494" t="s">
        <v>46</v>
      </c>
      <c r="C494">
        <v>133</v>
      </c>
      <c r="D494" s="4" t="s">
        <v>32</v>
      </c>
      <c r="E494" s="5">
        <v>45070</v>
      </c>
      <c r="F494">
        <v>31</v>
      </c>
      <c r="G494">
        <v>3.7</v>
      </c>
      <c r="H494">
        <f>IF(MONTH(calls[[#This Row],[Date of Call]])&lt;=6, YEAR(calls[[#This Row],[Date of Call]]), YEAR(calls[[#This Row],[Date of Call]])+1)</f>
        <v>2023</v>
      </c>
      <c r="I494" t="str">
        <f>TEXT(calls[[#This Row],[Date of Call]],"DDDD")</f>
        <v>Wednesday</v>
      </c>
      <c r="J494" t="str">
        <f t="array" ref="J494">_xlfn.IFS(calls[[#This Row],[Duration]]&lt;=10,"Under 10 mins", calls[[#This Row],[Duration]]&lt;=30, "10 to 30 mins", calls[[#This Row],[Duration]]&lt;=60, "30 to 60 mins", calls[[#This Row],[Duration]]&lt;=120, "1 to 2 hours", TRUE, "More than 2 hours")</f>
        <v>More than 2 hours</v>
      </c>
      <c r="K494">
        <f>ROUND(calls[[#This Row],[Satisfaction Rating]],0)</f>
        <v>4</v>
      </c>
    </row>
    <row r="495" spans="1:11" ht="13.8" x14ac:dyDescent="0.25">
      <c r="A495" t="s">
        <v>524</v>
      </c>
      <c r="B495" t="s">
        <v>64</v>
      </c>
      <c r="C495">
        <v>101</v>
      </c>
      <c r="D495" s="4" t="s">
        <v>18</v>
      </c>
      <c r="E495" s="5">
        <v>45070</v>
      </c>
      <c r="F495">
        <v>205</v>
      </c>
      <c r="G495">
        <v>3.9</v>
      </c>
      <c r="H495">
        <f>IF(MONTH(calls[[#This Row],[Date of Call]])&lt;=6, YEAR(calls[[#This Row],[Date of Call]]), YEAR(calls[[#This Row],[Date of Call]])+1)</f>
        <v>2023</v>
      </c>
      <c r="I495" t="str">
        <f>TEXT(calls[[#This Row],[Date of Call]],"DDDD")</f>
        <v>Wednesday</v>
      </c>
      <c r="J495" t="str">
        <f t="array" ref="J495">_xlfn.IFS(calls[[#This Row],[Duration]]&lt;=10,"Under 10 mins", calls[[#This Row],[Duration]]&lt;=30, "10 to 30 mins", calls[[#This Row],[Duration]]&lt;=60, "30 to 60 mins", calls[[#This Row],[Duration]]&lt;=120, "1 to 2 hours", TRUE, "More than 2 hours")</f>
        <v>1 to 2 hours</v>
      </c>
      <c r="K495">
        <f>ROUND(calls[[#This Row],[Satisfaction Rating]],0)</f>
        <v>4</v>
      </c>
    </row>
    <row r="496" spans="1:11" ht="13.8" x14ac:dyDescent="0.25">
      <c r="A496" t="s">
        <v>525</v>
      </c>
      <c r="B496" t="s">
        <v>35</v>
      </c>
      <c r="C496">
        <v>151</v>
      </c>
      <c r="D496" s="4" t="s">
        <v>28</v>
      </c>
      <c r="E496" s="5">
        <v>45071</v>
      </c>
      <c r="F496">
        <v>123</v>
      </c>
      <c r="G496">
        <v>3.7</v>
      </c>
      <c r="H496">
        <f>IF(MONTH(calls[[#This Row],[Date of Call]])&lt;=6, YEAR(calls[[#This Row],[Date of Call]]), YEAR(calls[[#This Row],[Date of Call]])+1)</f>
        <v>2023</v>
      </c>
      <c r="I496" t="str">
        <f>TEXT(calls[[#This Row],[Date of Call]],"DDDD")</f>
        <v>Thursday</v>
      </c>
      <c r="J496" t="str">
        <f t="array" ref="J496">_xlfn.IFS(calls[[#This Row],[Duration]]&lt;=10,"Under 10 mins", calls[[#This Row],[Duration]]&lt;=30, "10 to 30 mins", calls[[#This Row],[Duration]]&lt;=60, "30 to 60 mins", calls[[#This Row],[Duration]]&lt;=120, "1 to 2 hours", TRUE, "More than 2 hours")</f>
        <v>More than 2 hours</v>
      </c>
      <c r="K496">
        <f>ROUND(calls[[#This Row],[Satisfaction Rating]],0)</f>
        <v>4</v>
      </c>
    </row>
    <row r="497" spans="1:11" ht="13.8" x14ac:dyDescent="0.25">
      <c r="A497" t="s">
        <v>526</v>
      </c>
      <c r="B497" t="s">
        <v>22</v>
      </c>
      <c r="C497">
        <v>146</v>
      </c>
      <c r="D497" s="4" t="s">
        <v>32</v>
      </c>
      <c r="E497" s="5">
        <v>45071</v>
      </c>
      <c r="F497">
        <v>123</v>
      </c>
      <c r="G497">
        <v>4.3</v>
      </c>
      <c r="H497">
        <f>IF(MONTH(calls[[#This Row],[Date of Call]])&lt;=6, YEAR(calls[[#This Row],[Date of Call]]), YEAR(calls[[#This Row],[Date of Call]])+1)</f>
        <v>2023</v>
      </c>
      <c r="I497" t="str">
        <f>TEXT(calls[[#This Row],[Date of Call]],"DDDD")</f>
        <v>Thursday</v>
      </c>
      <c r="J497" t="str">
        <f t="array" ref="J497">_xlfn.IFS(calls[[#This Row],[Duration]]&lt;=10,"Under 10 mins", calls[[#This Row],[Duration]]&lt;=30, "10 to 30 mins", calls[[#This Row],[Duration]]&lt;=60, "30 to 60 mins", calls[[#This Row],[Duration]]&lt;=120, "1 to 2 hours", TRUE, "More than 2 hours")</f>
        <v>More than 2 hours</v>
      </c>
      <c r="K497">
        <f>ROUND(calls[[#This Row],[Satisfaction Rating]],0)</f>
        <v>4</v>
      </c>
    </row>
    <row r="498" spans="1:11" ht="13.8" x14ac:dyDescent="0.25">
      <c r="A498" t="s">
        <v>527</v>
      </c>
      <c r="B498" t="s">
        <v>84</v>
      </c>
      <c r="C498">
        <v>148</v>
      </c>
      <c r="D498" s="4" t="s">
        <v>32</v>
      </c>
      <c r="E498" s="5">
        <v>45071</v>
      </c>
      <c r="F498">
        <v>36</v>
      </c>
      <c r="G498">
        <v>2.9</v>
      </c>
      <c r="H498">
        <f>IF(MONTH(calls[[#This Row],[Date of Call]])&lt;=6, YEAR(calls[[#This Row],[Date of Call]]), YEAR(calls[[#This Row],[Date of Call]])+1)</f>
        <v>2023</v>
      </c>
      <c r="I498" t="str">
        <f>TEXT(calls[[#This Row],[Date of Call]],"DDDD")</f>
        <v>Thursday</v>
      </c>
      <c r="J498" t="str">
        <f t="array" ref="J498">_xlfn.IFS(calls[[#This Row],[Duration]]&lt;=10,"Under 10 mins", calls[[#This Row],[Duration]]&lt;=30, "10 to 30 mins", calls[[#This Row],[Duration]]&lt;=60, "30 to 60 mins", calls[[#This Row],[Duration]]&lt;=120, "1 to 2 hours", TRUE, "More than 2 hours")</f>
        <v>More than 2 hours</v>
      </c>
      <c r="K498">
        <f>ROUND(calls[[#This Row],[Satisfaction Rating]],0)</f>
        <v>3</v>
      </c>
    </row>
    <row r="499" spans="1:11" ht="13.8" x14ac:dyDescent="0.25">
      <c r="A499" t="s">
        <v>528</v>
      </c>
      <c r="B499" t="s">
        <v>35</v>
      </c>
      <c r="C499">
        <v>81</v>
      </c>
      <c r="D499" s="4" t="s">
        <v>32</v>
      </c>
      <c r="E499" s="5">
        <v>45071</v>
      </c>
      <c r="F499">
        <v>116</v>
      </c>
      <c r="G499">
        <v>4.3</v>
      </c>
      <c r="H499">
        <f>IF(MONTH(calls[[#This Row],[Date of Call]])&lt;=6, YEAR(calls[[#This Row],[Date of Call]]), YEAR(calls[[#This Row],[Date of Call]])+1)</f>
        <v>2023</v>
      </c>
      <c r="I499" t="str">
        <f>TEXT(calls[[#This Row],[Date of Call]],"DDDD")</f>
        <v>Thursday</v>
      </c>
      <c r="J499" t="str">
        <f t="array" ref="J499">_xlfn.IFS(calls[[#This Row],[Duration]]&lt;=10,"Under 10 mins", calls[[#This Row],[Duration]]&lt;=30, "10 to 30 mins", calls[[#This Row],[Duration]]&lt;=60, "30 to 60 mins", calls[[#This Row],[Duration]]&lt;=120, "1 to 2 hours", TRUE, "More than 2 hours")</f>
        <v>1 to 2 hours</v>
      </c>
      <c r="K499">
        <f>ROUND(calls[[#This Row],[Satisfaction Rating]],0)</f>
        <v>4</v>
      </c>
    </row>
    <row r="500" spans="1:11" ht="13.8" x14ac:dyDescent="0.25">
      <c r="A500" t="s">
        <v>529</v>
      </c>
      <c r="B500" t="s">
        <v>43</v>
      </c>
      <c r="C500">
        <v>115</v>
      </c>
      <c r="D500" s="4" t="s">
        <v>32</v>
      </c>
      <c r="E500" s="5">
        <v>45071</v>
      </c>
      <c r="F500">
        <v>40</v>
      </c>
      <c r="G500">
        <v>4.9000000000000004</v>
      </c>
      <c r="H500">
        <f>IF(MONTH(calls[[#This Row],[Date of Call]])&lt;=6, YEAR(calls[[#This Row],[Date of Call]]), YEAR(calls[[#This Row],[Date of Call]])+1)</f>
        <v>2023</v>
      </c>
      <c r="I500" t="str">
        <f>TEXT(calls[[#This Row],[Date of Call]],"DDDD")</f>
        <v>Thursday</v>
      </c>
      <c r="J500" t="str">
        <f t="array" ref="J500">_xlfn.IFS(calls[[#This Row],[Duration]]&lt;=10,"Under 10 mins", calls[[#This Row],[Duration]]&lt;=30, "10 to 30 mins", calls[[#This Row],[Duration]]&lt;=60, "30 to 60 mins", calls[[#This Row],[Duration]]&lt;=120, "1 to 2 hours", TRUE, "More than 2 hours")</f>
        <v>1 to 2 hours</v>
      </c>
      <c r="K500">
        <f>ROUND(calls[[#This Row],[Satisfaction Rating]],0)</f>
        <v>5</v>
      </c>
    </row>
    <row r="501" spans="1:11" ht="13.8" x14ac:dyDescent="0.25">
      <c r="A501" t="s">
        <v>530</v>
      </c>
      <c r="B501" t="s">
        <v>43</v>
      </c>
      <c r="C501">
        <v>117</v>
      </c>
      <c r="D501" s="4" t="s">
        <v>28</v>
      </c>
      <c r="E501" s="5">
        <v>45071</v>
      </c>
      <c r="F501">
        <v>40</v>
      </c>
      <c r="G501">
        <v>4</v>
      </c>
      <c r="H501">
        <f>IF(MONTH(calls[[#This Row],[Date of Call]])&lt;=6, YEAR(calls[[#This Row],[Date of Call]]), YEAR(calls[[#This Row],[Date of Call]])+1)</f>
        <v>2023</v>
      </c>
      <c r="I501" t="str">
        <f>TEXT(calls[[#This Row],[Date of Call]],"DDDD")</f>
        <v>Thursday</v>
      </c>
      <c r="J501" t="str">
        <f t="array" ref="J501">_xlfn.IFS(calls[[#This Row],[Duration]]&lt;=10,"Under 10 mins", calls[[#This Row],[Duration]]&lt;=30, "10 to 30 mins", calls[[#This Row],[Duration]]&lt;=60, "30 to 60 mins", calls[[#This Row],[Duration]]&lt;=120, "1 to 2 hours", TRUE, "More than 2 hours")</f>
        <v>1 to 2 hours</v>
      </c>
      <c r="K501">
        <f>ROUND(calls[[#This Row],[Satisfaction Rating]],0)</f>
        <v>4</v>
      </c>
    </row>
    <row r="502" spans="1:11" ht="13.8" x14ac:dyDescent="0.25">
      <c r="A502" t="s">
        <v>531</v>
      </c>
      <c r="B502" t="s">
        <v>64</v>
      </c>
      <c r="C502">
        <v>110</v>
      </c>
      <c r="D502" s="4" t="s">
        <v>23</v>
      </c>
      <c r="E502" s="5">
        <v>45072</v>
      </c>
      <c r="F502">
        <v>82</v>
      </c>
      <c r="G502">
        <v>4</v>
      </c>
      <c r="H502">
        <f>IF(MONTH(calls[[#This Row],[Date of Call]])&lt;=6, YEAR(calls[[#This Row],[Date of Call]]), YEAR(calls[[#This Row],[Date of Call]])+1)</f>
        <v>2023</v>
      </c>
      <c r="I502" t="str">
        <f>TEXT(calls[[#This Row],[Date of Call]],"DDDD")</f>
        <v>Friday</v>
      </c>
      <c r="J502" t="str">
        <f t="array" ref="J502">_xlfn.IFS(calls[[#This Row],[Duration]]&lt;=10,"Under 10 mins", calls[[#This Row],[Duration]]&lt;=30, "10 to 30 mins", calls[[#This Row],[Duration]]&lt;=60, "30 to 60 mins", calls[[#This Row],[Duration]]&lt;=120, "1 to 2 hours", TRUE, "More than 2 hours")</f>
        <v>1 to 2 hours</v>
      </c>
      <c r="K502">
        <f>ROUND(calls[[#This Row],[Satisfaction Rating]],0)</f>
        <v>4</v>
      </c>
    </row>
    <row r="503" spans="1:11" ht="13.8" x14ac:dyDescent="0.25">
      <c r="A503" t="s">
        <v>532</v>
      </c>
      <c r="B503" t="s">
        <v>37</v>
      </c>
      <c r="C503">
        <v>103</v>
      </c>
      <c r="D503" s="4" t="s">
        <v>13</v>
      </c>
      <c r="E503" s="5">
        <v>45072</v>
      </c>
      <c r="F503">
        <v>62</v>
      </c>
      <c r="G503">
        <v>3.4</v>
      </c>
      <c r="H503">
        <f>IF(MONTH(calls[[#This Row],[Date of Call]])&lt;=6, YEAR(calls[[#This Row],[Date of Call]]), YEAR(calls[[#This Row],[Date of Call]])+1)</f>
        <v>2023</v>
      </c>
      <c r="I503" t="str">
        <f>TEXT(calls[[#This Row],[Date of Call]],"DDDD")</f>
        <v>Friday</v>
      </c>
      <c r="J503" t="str">
        <f t="array" ref="J503">_xlfn.IFS(calls[[#This Row],[Duration]]&lt;=10,"Under 10 mins", calls[[#This Row],[Duration]]&lt;=30, "10 to 30 mins", calls[[#This Row],[Duration]]&lt;=60, "30 to 60 mins", calls[[#This Row],[Duration]]&lt;=120, "1 to 2 hours", TRUE, "More than 2 hours")</f>
        <v>1 to 2 hours</v>
      </c>
      <c r="K503">
        <f>ROUND(calls[[#This Row],[Satisfaction Rating]],0)</f>
        <v>3</v>
      </c>
    </row>
    <row r="504" spans="1:11" ht="13.8" x14ac:dyDescent="0.25">
      <c r="A504" t="s">
        <v>533</v>
      </c>
      <c r="B504" t="s">
        <v>20</v>
      </c>
      <c r="C504">
        <v>45</v>
      </c>
      <c r="D504" s="4" t="s">
        <v>13</v>
      </c>
      <c r="E504" s="5">
        <v>45072</v>
      </c>
      <c r="F504">
        <v>135</v>
      </c>
      <c r="G504">
        <v>3.9</v>
      </c>
      <c r="H504">
        <f>IF(MONTH(calls[[#This Row],[Date of Call]])&lt;=6, YEAR(calls[[#This Row],[Date of Call]]), YEAR(calls[[#This Row],[Date of Call]])+1)</f>
        <v>2023</v>
      </c>
      <c r="I504" t="str">
        <f>TEXT(calls[[#This Row],[Date of Call]],"DDDD")</f>
        <v>Friday</v>
      </c>
      <c r="J504" t="str">
        <f t="array" ref="J504">_xlfn.IFS(calls[[#This Row],[Duration]]&lt;=10,"Under 10 mins", calls[[#This Row],[Duration]]&lt;=30, "10 to 30 mins", calls[[#This Row],[Duration]]&lt;=60, "30 to 60 mins", calls[[#This Row],[Duration]]&lt;=120, "1 to 2 hours", TRUE, "More than 2 hours")</f>
        <v>30 to 60 mins</v>
      </c>
      <c r="K504">
        <f>ROUND(calls[[#This Row],[Satisfaction Rating]],0)</f>
        <v>4</v>
      </c>
    </row>
    <row r="505" spans="1:11" ht="13.8" x14ac:dyDescent="0.25">
      <c r="A505" t="s">
        <v>534</v>
      </c>
      <c r="B505" t="s">
        <v>64</v>
      </c>
      <c r="C505">
        <v>110</v>
      </c>
      <c r="D505" s="4" t="s">
        <v>18</v>
      </c>
      <c r="E505" s="5">
        <v>45072</v>
      </c>
      <c r="F505">
        <v>155</v>
      </c>
      <c r="G505">
        <v>2.1</v>
      </c>
      <c r="H505">
        <f>IF(MONTH(calls[[#This Row],[Date of Call]])&lt;=6, YEAR(calls[[#This Row],[Date of Call]]), YEAR(calls[[#This Row],[Date of Call]])+1)</f>
        <v>2023</v>
      </c>
      <c r="I505" t="str">
        <f>TEXT(calls[[#This Row],[Date of Call]],"DDDD")</f>
        <v>Friday</v>
      </c>
      <c r="J505" t="str">
        <f t="array" ref="J505">_xlfn.IFS(calls[[#This Row],[Duration]]&lt;=10,"Under 10 mins", calls[[#This Row],[Duration]]&lt;=30, "10 to 30 mins", calls[[#This Row],[Duration]]&lt;=60, "30 to 60 mins", calls[[#This Row],[Duration]]&lt;=120, "1 to 2 hours", TRUE, "More than 2 hours")</f>
        <v>1 to 2 hours</v>
      </c>
      <c r="K505">
        <f>ROUND(calls[[#This Row],[Satisfaction Rating]],0)</f>
        <v>2</v>
      </c>
    </row>
    <row r="506" spans="1:11" ht="13.8" x14ac:dyDescent="0.25">
      <c r="A506" t="s">
        <v>535</v>
      </c>
      <c r="B506" t="s">
        <v>31</v>
      </c>
      <c r="C506">
        <v>43</v>
      </c>
      <c r="D506" s="4" t="s">
        <v>23</v>
      </c>
      <c r="E506" s="5">
        <v>45072</v>
      </c>
      <c r="F506">
        <v>37</v>
      </c>
      <c r="G506">
        <v>4.9000000000000004</v>
      </c>
      <c r="H506">
        <f>IF(MONTH(calls[[#This Row],[Date of Call]])&lt;=6, YEAR(calls[[#This Row],[Date of Call]]), YEAR(calls[[#This Row],[Date of Call]])+1)</f>
        <v>2023</v>
      </c>
      <c r="I506" t="str">
        <f>TEXT(calls[[#This Row],[Date of Call]],"DDDD")</f>
        <v>Friday</v>
      </c>
      <c r="J506" t="str">
        <f t="array" ref="J506">_xlfn.IFS(calls[[#This Row],[Duration]]&lt;=10,"Under 10 mins", calls[[#This Row],[Duration]]&lt;=30, "10 to 30 mins", calls[[#This Row],[Duration]]&lt;=60, "30 to 60 mins", calls[[#This Row],[Duration]]&lt;=120, "1 to 2 hours", TRUE, "More than 2 hours")</f>
        <v>30 to 60 mins</v>
      </c>
      <c r="K506">
        <f>ROUND(calls[[#This Row],[Satisfaction Rating]],0)</f>
        <v>5</v>
      </c>
    </row>
    <row r="507" spans="1:11" ht="13.8" x14ac:dyDescent="0.25">
      <c r="A507" t="s">
        <v>536</v>
      </c>
      <c r="B507" t="s">
        <v>64</v>
      </c>
      <c r="C507">
        <v>104</v>
      </c>
      <c r="D507" s="4" t="s">
        <v>28</v>
      </c>
      <c r="E507" s="5">
        <v>45073</v>
      </c>
      <c r="F507">
        <v>56</v>
      </c>
      <c r="G507">
        <v>3.4</v>
      </c>
      <c r="H507">
        <f>IF(MONTH(calls[[#This Row],[Date of Call]])&lt;=6, YEAR(calls[[#This Row],[Date of Call]]), YEAR(calls[[#This Row],[Date of Call]])+1)</f>
        <v>2023</v>
      </c>
      <c r="I507" t="str">
        <f>TEXT(calls[[#This Row],[Date of Call]],"DDDD")</f>
        <v>Saturday</v>
      </c>
      <c r="J507" t="str">
        <f t="array" ref="J507">_xlfn.IFS(calls[[#This Row],[Duration]]&lt;=10,"Under 10 mins", calls[[#This Row],[Duration]]&lt;=30, "10 to 30 mins", calls[[#This Row],[Duration]]&lt;=60, "30 to 60 mins", calls[[#This Row],[Duration]]&lt;=120, "1 to 2 hours", TRUE, "More than 2 hours")</f>
        <v>1 to 2 hours</v>
      </c>
      <c r="K507">
        <f>ROUND(calls[[#This Row],[Satisfaction Rating]],0)</f>
        <v>3</v>
      </c>
    </row>
    <row r="508" spans="1:11" ht="13.8" x14ac:dyDescent="0.25">
      <c r="A508" t="s">
        <v>537</v>
      </c>
      <c r="B508" t="s">
        <v>64</v>
      </c>
      <c r="C508">
        <v>101</v>
      </c>
      <c r="D508" s="4" t="s">
        <v>28</v>
      </c>
      <c r="E508" s="5">
        <v>45073</v>
      </c>
      <c r="F508">
        <v>185</v>
      </c>
      <c r="G508">
        <v>5</v>
      </c>
      <c r="H508">
        <f>IF(MONTH(calls[[#This Row],[Date of Call]])&lt;=6, YEAR(calls[[#This Row],[Date of Call]]), YEAR(calls[[#This Row],[Date of Call]])+1)</f>
        <v>2023</v>
      </c>
      <c r="I508" t="str">
        <f>TEXT(calls[[#This Row],[Date of Call]],"DDDD")</f>
        <v>Saturday</v>
      </c>
      <c r="J508" t="str">
        <f t="array" ref="J508">_xlfn.IFS(calls[[#This Row],[Duration]]&lt;=10,"Under 10 mins", calls[[#This Row],[Duration]]&lt;=30, "10 to 30 mins", calls[[#This Row],[Duration]]&lt;=60, "30 to 60 mins", calls[[#This Row],[Duration]]&lt;=120, "1 to 2 hours", TRUE, "More than 2 hours")</f>
        <v>1 to 2 hours</v>
      </c>
      <c r="K508">
        <f>ROUND(calls[[#This Row],[Satisfaction Rating]],0)</f>
        <v>5</v>
      </c>
    </row>
    <row r="509" spans="1:11" ht="13.8" x14ac:dyDescent="0.25">
      <c r="A509" t="s">
        <v>538</v>
      </c>
      <c r="B509" t="s">
        <v>12</v>
      </c>
      <c r="C509">
        <v>55</v>
      </c>
      <c r="D509" s="4" t="s">
        <v>23</v>
      </c>
      <c r="E509" s="5">
        <v>45074</v>
      </c>
      <c r="F509">
        <v>145</v>
      </c>
      <c r="G509">
        <v>4.5</v>
      </c>
      <c r="H509">
        <f>IF(MONTH(calls[[#This Row],[Date of Call]])&lt;=6, YEAR(calls[[#This Row],[Date of Call]]), YEAR(calls[[#This Row],[Date of Call]])+1)</f>
        <v>2023</v>
      </c>
      <c r="I509" t="str">
        <f>TEXT(calls[[#This Row],[Date of Call]],"DDDD")</f>
        <v>Sunday</v>
      </c>
      <c r="J509" t="str">
        <f t="array" ref="J509">_xlfn.IFS(calls[[#This Row],[Duration]]&lt;=10,"Under 10 mins", calls[[#This Row],[Duration]]&lt;=30, "10 to 30 mins", calls[[#This Row],[Duration]]&lt;=60, "30 to 60 mins", calls[[#This Row],[Duration]]&lt;=120, "1 to 2 hours", TRUE, "More than 2 hours")</f>
        <v>30 to 60 mins</v>
      </c>
      <c r="K509">
        <f>ROUND(calls[[#This Row],[Satisfaction Rating]],0)</f>
        <v>5</v>
      </c>
    </row>
    <row r="510" spans="1:11" ht="13.8" x14ac:dyDescent="0.25">
      <c r="A510" t="s">
        <v>539</v>
      </c>
      <c r="B510" t="s">
        <v>35</v>
      </c>
      <c r="C510">
        <v>40</v>
      </c>
      <c r="D510" s="4" t="s">
        <v>13</v>
      </c>
      <c r="E510" s="5">
        <v>45074</v>
      </c>
      <c r="F510">
        <v>116</v>
      </c>
      <c r="G510">
        <v>2.6</v>
      </c>
      <c r="H510">
        <f>IF(MONTH(calls[[#This Row],[Date of Call]])&lt;=6, YEAR(calls[[#This Row],[Date of Call]]), YEAR(calls[[#This Row],[Date of Call]])+1)</f>
        <v>2023</v>
      </c>
      <c r="I510" t="str">
        <f>TEXT(calls[[#This Row],[Date of Call]],"DDDD")</f>
        <v>Sunday</v>
      </c>
      <c r="J510" t="str">
        <f t="array" ref="J510">_xlfn.IFS(calls[[#This Row],[Duration]]&lt;=10,"Under 10 mins", calls[[#This Row],[Duration]]&lt;=30, "10 to 30 mins", calls[[#This Row],[Duration]]&lt;=60, "30 to 60 mins", calls[[#This Row],[Duration]]&lt;=120, "1 to 2 hours", TRUE, "More than 2 hours")</f>
        <v>30 to 60 mins</v>
      </c>
      <c r="K510">
        <f>ROUND(calls[[#This Row],[Satisfaction Rating]],0)</f>
        <v>3</v>
      </c>
    </row>
    <row r="511" spans="1:11" ht="13.8" x14ac:dyDescent="0.25">
      <c r="A511" t="s">
        <v>540</v>
      </c>
      <c r="B511" t="s">
        <v>31</v>
      </c>
      <c r="C511">
        <v>122</v>
      </c>
      <c r="D511" s="4" t="s">
        <v>32</v>
      </c>
      <c r="E511" s="5">
        <v>45074</v>
      </c>
      <c r="F511">
        <v>45</v>
      </c>
      <c r="G511">
        <v>4.2</v>
      </c>
      <c r="H511">
        <f>IF(MONTH(calls[[#This Row],[Date of Call]])&lt;=6, YEAR(calls[[#This Row],[Date of Call]]), YEAR(calls[[#This Row],[Date of Call]])+1)</f>
        <v>2023</v>
      </c>
      <c r="I511" t="str">
        <f>TEXT(calls[[#This Row],[Date of Call]],"DDDD")</f>
        <v>Sunday</v>
      </c>
      <c r="J511" t="str">
        <f t="array" ref="J511">_xlfn.IFS(calls[[#This Row],[Duration]]&lt;=10,"Under 10 mins", calls[[#This Row],[Duration]]&lt;=30, "10 to 30 mins", calls[[#This Row],[Duration]]&lt;=60, "30 to 60 mins", calls[[#This Row],[Duration]]&lt;=120, "1 to 2 hours", TRUE, "More than 2 hours")</f>
        <v>More than 2 hours</v>
      </c>
      <c r="K511">
        <f>ROUND(calls[[#This Row],[Satisfaction Rating]],0)</f>
        <v>4</v>
      </c>
    </row>
    <row r="512" spans="1:11" ht="13.8" x14ac:dyDescent="0.25">
      <c r="A512" t="s">
        <v>541</v>
      </c>
      <c r="B512" t="s">
        <v>22</v>
      </c>
      <c r="C512">
        <v>98</v>
      </c>
      <c r="D512" s="4" t="s">
        <v>28</v>
      </c>
      <c r="E512" s="5">
        <v>45075</v>
      </c>
      <c r="F512">
        <v>35</v>
      </c>
      <c r="G512">
        <v>4.5</v>
      </c>
      <c r="H512">
        <f>IF(MONTH(calls[[#This Row],[Date of Call]])&lt;=6, YEAR(calls[[#This Row],[Date of Call]]), YEAR(calls[[#This Row],[Date of Call]])+1)</f>
        <v>2023</v>
      </c>
      <c r="I512" t="str">
        <f>TEXT(calls[[#This Row],[Date of Call]],"DDDD")</f>
        <v>Monday</v>
      </c>
      <c r="J512" t="str">
        <f t="array" ref="J512">_xlfn.IFS(calls[[#This Row],[Duration]]&lt;=10,"Under 10 mins", calls[[#This Row],[Duration]]&lt;=30, "10 to 30 mins", calls[[#This Row],[Duration]]&lt;=60, "30 to 60 mins", calls[[#This Row],[Duration]]&lt;=120, "1 to 2 hours", TRUE, "More than 2 hours")</f>
        <v>1 to 2 hours</v>
      </c>
      <c r="K512">
        <f>ROUND(calls[[#This Row],[Satisfaction Rating]],0)</f>
        <v>5</v>
      </c>
    </row>
    <row r="513" spans="1:11" ht="13.8" x14ac:dyDescent="0.25">
      <c r="A513" t="s">
        <v>542</v>
      </c>
      <c r="B513" t="s">
        <v>43</v>
      </c>
      <c r="C513">
        <v>110</v>
      </c>
      <c r="D513" s="4" t="s">
        <v>13</v>
      </c>
      <c r="E513" s="5">
        <v>45075</v>
      </c>
      <c r="F513">
        <v>100</v>
      </c>
      <c r="G513">
        <v>4.4000000000000004</v>
      </c>
      <c r="H513">
        <f>IF(MONTH(calls[[#This Row],[Date of Call]])&lt;=6, YEAR(calls[[#This Row],[Date of Call]]), YEAR(calls[[#This Row],[Date of Call]])+1)</f>
        <v>2023</v>
      </c>
      <c r="I513" t="str">
        <f>TEXT(calls[[#This Row],[Date of Call]],"DDDD")</f>
        <v>Monday</v>
      </c>
      <c r="J513" t="str">
        <f t="array" ref="J513">_xlfn.IFS(calls[[#This Row],[Duration]]&lt;=10,"Under 10 mins", calls[[#This Row],[Duration]]&lt;=30, "10 to 30 mins", calls[[#This Row],[Duration]]&lt;=60, "30 to 60 mins", calls[[#This Row],[Duration]]&lt;=120, "1 to 2 hours", TRUE, "More than 2 hours")</f>
        <v>1 to 2 hours</v>
      </c>
      <c r="K513">
        <f>ROUND(calls[[#This Row],[Satisfaction Rating]],0)</f>
        <v>4</v>
      </c>
    </row>
    <row r="514" spans="1:11" ht="13.8" x14ac:dyDescent="0.25">
      <c r="A514" t="s">
        <v>543</v>
      </c>
      <c r="B514" t="s">
        <v>43</v>
      </c>
      <c r="C514">
        <v>62</v>
      </c>
      <c r="D514" s="4" t="s">
        <v>23</v>
      </c>
      <c r="E514" s="5">
        <v>45076</v>
      </c>
      <c r="F514">
        <v>125</v>
      </c>
      <c r="G514">
        <v>3.5</v>
      </c>
      <c r="H514">
        <f>IF(MONTH(calls[[#This Row],[Date of Call]])&lt;=6, YEAR(calls[[#This Row],[Date of Call]]), YEAR(calls[[#This Row],[Date of Call]])+1)</f>
        <v>2023</v>
      </c>
      <c r="I514" t="str">
        <f>TEXT(calls[[#This Row],[Date of Call]],"DDDD")</f>
        <v>Tuesday</v>
      </c>
      <c r="J514" t="str">
        <f t="array" ref="J514">_xlfn.IFS(calls[[#This Row],[Duration]]&lt;=10,"Under 10 mins", calls[[#This Row],[Duration]]&lt;=30, "10 to 30 mins", calls[[#This Row],[Duration]]&lt;=60, "30 to 60 mins", calls[[#This Row],[Duration]]&lt;=120, "1 to 2 hours", TRUE, "More than 2 hours")</f>
        <v>1 to 2 hours</v>
      </c>
      <c r="K514">
        <f>ROUND(calls[[#This Row],[Satisfaction Rating]],0)</f>
        <v>4</v>
      </c>
    </row>
    <row r="515" spans="1:11" ht="13.8" x14ac:dyDescent="0.25">
      <c r="A515" t="s">
        <v>544</v>
      </c>
      <c r="B515" t="s">
        <v>31</v>
      </c>
      <c r="C515">
        <v>134</v>
      </c>
      <c r="D515" s="4" t="s">
        <v>32</v>
      </c>
      <c r="E515" s="5">
        <v>45076</v>
      </c>
      <c r="F515">
        <v>120</v>
      </c>
      <c r="G515">
        <v>3</v>
      </c>
      <c r="H515">
        <f>IF(MONTH(calls[[#This Row],[Date of Call]])&lt;=6, YEAR(calls[[#This Row],[Date of Call]]), YEAR(calls[[#This Row],[Date of Call]])+1)</f>
        <v>2023</v>
      </c>
      <c r="I515" t="str">
        <f>TEXT(calls[[#This Row],[Date of Call]],"DDDD")</f>
        <v>Tuesday</v>
      </c>
      <c r="J515" t="str">
        <f t="array" ref="J515">_xlfn.IFS(calls[[#This Row],[Duration]]&lt;=10,"Under 10 mins", calls[[#This Row],[Duration]]&lt;=30, "10 to 30 mins", calls[[#This Row],[Duration]]&lt;=60, "30 to 60 mins", calls[[#This Row],[Duration]]&lt;=120, "1 to 2 hours", TRUE, "More than 2 hours")</f>
        <v>More than 2 hours</v>
      </c>
      <c r="K515">
        <f>ROUND(calls[[#This Row],[Satisfaction Rating]],0)</f>
        <v>3</v>
      </c>
    </row>
    <row r="516" spans="1:11" ht="13.8" x14ac:dyDescent="0.25">
      <c r="A516" t="s">
        <v>545</v>
      </c>
      <c r="B516" t="s">
        <v>51</v>
      </c>
      <c r="C516">
        <v>94</v>
      </c>
      <c r="D516" s="4" t="s">
        <v>18</v>
      </c>
      <c r="E516" s="5">
        <v>45076</v>
      </c>
      <c r="F516">
        <v>180</v>
      </c>
      <c r="G516">
        <v>4.7</v>
      </c>
      <c r="H516">
        <f>IF(MONTH(calls[[#This Row],[Date of Call]])&lt;=6, YEAR(calls[[#This Row],[Date of Call]]), YEAR(calls[[#This Row],[Date of Call]])+1)</f>
        <v>2023</v>
      </c>
      <c r="I516" t="str">
        <f>TEXT(calls[[#This Row],[Date of Call]],"DDDD")</f>
        <v>Tuesday</v>
      </c>
      <c r="J516" t="str">
        <f t="array" ref="J516">_xlfn.IFS(calls[[#This Row],[Duration]]&lt;=10,"Under 10 mins", calls[[#This Row],[Duration]]&lt;=30, "10 to 30 mins", calls[[#This Row],[Duration]]&lt;=60, "30 to 60 mins", calls[[#This Row],[Duration]]&lt;=120, "1 to 2 hours", TRUE, "More than 2 hours")</f>
        <v>1 to 2 hours</v>
      </c>
      <c r="K516">
        <f>ROUND(calls[[#This Row],[Satisfaction Rating]],0)</f>
        <v>5</v>
      </c>
    </row>
    <row r="517" spans="1:11" ht="13.8" x14ac:dyDescent="0.25">
      <c r="A517" t="s">
        <v>546</v>
      </c>
      <c r="B517" t="s">
        <v>26</v>
      </c>
      <c r="C517">
        <v>63</v>
      </c>
      <c r="D517" s="4" t="s">
        <v>13</v>
      </c>
      <c r="E517" s="5">
        <v>45076</v>
      </c>
      <c r="F517">
        <v>44</v>
      </c>
      <c r="G517">
        <v>3</v>
      </c>
      <c r="H517">
        <f>IF(MONTH(calls[[#This Row],[Date of Call]])&lt;=6, YEAR(calls[[#This Row],[Date of Call]]), YEAR(calls[[#This Row],[Date of Call]])+1)</f>
        <v>2023</v>
      </c>
      <c r="I517" t="str">
        <f>TEXT(calls[[#This Row],[Date of Call]],"DDDD")</f>
        <v>Tuesday</v>
      </c>
      <c r="J517" t="str">
        <f t="array" ref="J517">_xlfn.IFS(calls[[#This Row],[Duration]]&lt;=10,"Under 10 mins", calls[[#This Row],[Duration]]&lt;=30, "10 to 30 mins", calls[[#This Row],[Duration]]&lt;=60, "30 to 60 mins", calls[[#This Row],[Duration]]&lt;=120, "1 to 2 hours", TRUE, "More than 2 hours")</f>
        <v>1 to 2 hours</v>
      </c>
      <c r="K517">
        <f>ROUND(calls[[#This Row],[Satisfaction Rating]],0)</f>
        <v>3</v>
      </c>
    </row>
    <row r="518" spans="1:11" ht="13.8" x14ac:dyDescent="0.25">
      <c r="A518" t="s">
        <v>547</v>
      </c>
      <c r="B518" t="s">
        <v>46</v>
      </c>
      <c r="C518">
        <v>95</v>
      </c>
      <c r="D518" s="4" t="s">
        <v>32</v>
      </c>
      <c r="E518" s="5">
        <v>45076</v>
      </c>
      <c r="F518">
        <v>86</v>
      </c>
      <c r="G518">
        <v>3.6</v>
      </c>
      <c r="H518">
        <f>IF(MONTH(calls[[#This Row],[Date of Call]])&lt;=6, YEAR(calls[[#This Row],[Date of Call]]), YEAR(calls[[#This Row],[Date of Call]])+1)</f>
        <v>2023</v>
      </c>
      <c r="I518" t="str">
        <f>TEXT(calls[[#This Row],[Date of Call]],"DDDD")</f>
        <v>Tuesday</v>
      </c>
      <c r="J518" t="str">
        <f t="array" ref="J518">_xlfn.IFS(calls[[#This Row],[Duration]]&lt;=10,"Under 10 mins", calls[[#This Row],[Duration]]&lt;=30, "10 to 30 mins", calls[[#This Row],[Duration]]&lt;=60, "30 to 60 mins", calls[[#This Row],[Duration]]&lt;=120, "1 to 2 hours", TRUE, "More than 2 hours")</f>
        <v>1 to 2 hours</v>
      </c>
      <c r="K518">
        <f>ROUND(calls[[#This Row],[Satisfaction Rating]],0)</f>
        <v>4</v>
      </c>
    </row>
    <row r="519" spans="1:11" ht="13.8" x14ac:dyDescent="0.25">
      <c r="A519" t="s">
        <v>548</v>
      </c>
      <c r="B519" t="s">
        <v>31</v>
      </c>
      <c r="C519">
        <v>106</v>
      </c>
      <c r="D519" s="4" t="s">
        <v>32</v>
      </c>
      <c r="E519" s="5">
        <v>45077</v>
      </c>
      <c r="F519">
        <v>120</v>
      </c>
      <c r="G519">
        <v>4.0999999999999996</v>
      </c>
      <c r="H519">
        <f>IF(MONTH(calls[[#This Row],[Date of Call]])&lt;=6, YEAR(calls[[#This Row],[Date of Call]]), YEAR(calls[[#This Row],[Date of Call]])+1)</f>
        <v>2023</v>
      </c>
      <c r="I519" t="str">
        <f>TEXT(calls[[#This Row],[Date of Call]],"DDDD")</f>
        <v>Wednesday</v>
      </c>
      <c r="J519" t="str">
        <f t="array" ref="J519">_xlfn.IFS(calls[[#This Row],[Duration]]&lt;=10,"Under 10 mins", calls[[#This Row],[Duration]]&lt;=30, "10 to 30 mins", calls[[#This Row],[Duration]]&lt;=60, "30 to 60 mins", calls[[#This Row],[Duration]]&lt;=120, "1 to 2 hours", TRUE, "More than 2 hours")</f>
        <v>1 to 2 hours</v>
      </c>
      <c r="K519">
        <f>ROUND(calls[[#This Row],[Satisfaction Rating]],0)</f>
        <v>4</v>
      </c>
    </row>
    <row r="520" spans="1:11" ht="13.8" x14ac:dyDescent="0.25">
      <c r="A520" t="s">
        <v>549</v>
      </c>
      <c r="B520" t="s">
        <v>20</v>
      </c>
      <c r="C520">
        <v>94</v>
      </c>
      <c r="D520" s="4" t="s">
        <v>18</v>
      </c>
      <c r="E520" s="5">
        <v>45077</v>
      </c>
      <c r="F520">
        <v>100</v>
      </c>
      <c r="G520">
        <v>3.7</v>
      </c>
      <c r="H520">
        <f>IF(MONTH(calls[[#This Row],[Date of Call]])&lt;=6, YEAR(calls[[#This Row],[Date of Call]]), YEAR(calls[[#This Row],[Date of Call]])+1)</f>
        <v>2023</v>
      </c>
      <c r="I520" t="str">
        <f>TEXT(calls[[#This Row],[Date of Call]],"DDDD")</f>
        <v>Wednesday</v>
      </c>
      <c r="J520" t="str">
        <f t="array" ref="J520">_xlfn.IFS(calls[[#This Row],[Duration]]&lt;=10,"Under 10 mins", calls[[#This Row],[Duration]]&lt;=30, "10 to 30 mins", calls[[#This Row],[Duration]]&lt;=60, "30 to 60 mins", calls[[#This Row],[Duration]]&lt;=120, "1 to 2 hours", TRUE, "More than 2 hours")</f>
        <v>1 to 2 hours</v>
      </c>
      <c r="K520">
        <f>ROUND(calls[[#This Row],[Satisfaction Rating]],0)</f>
        <v>4</v>
      </c>
    </row>
    <row r="521" spans="1:11" ht="13.8" x14ac:dyDescent="0.25">
      <c r="A521" t="s">
        <v>550</v>
      </c>
      <c r="B521" t="s">
        <v>20</v>
      </c>
      <c r="C521">
        <v>51</v>
      </c>
      <c r="D521" s="4" t="s">
        <v>18</v>
      </c>
      <c r="E521" s="5">
        <v>45078</v>
      </c>
      <c r="F521">
        <v>108</v>
      </c>
      <c r="G521">
        <v>4.5</v>
      </c>
      <c r="H521">
        <f>IF(MONTH(calls[[#This Row],[Date of Call]])&lt;=6, YEAR(calls[[#This Row],[Date of Call]]), YEAR(calls[[#This Row],[Date of Call]])+1)</f>
        <v>2023</v>
      </c>
      <c r="I521" t="str">
        <f>TEXT(calls[[#This Row],[Date of Call]],"DDDD")</f>
        <v>Thursday</v>
      </c>
      <c r="J521" t="str">
        <f t="array" ref="J521">_xlfn.IFS(calls[[#This Row],[Duration]]&lt;=10,"Under 10 mins", calls[[#This Row],[Duration]]&lt;=30, "10 to 30 mins", calls[[#This Row],[Duration]]&lt;=60, "30 to 60 mins", calls[[#This Row],[Duration]]&lt;=120, "1 to 2 hours", TRUE, "More than 2 hours")</f>
        <v>30 to 60 mins</v>
      </c>
      <c r="K521">
        <f>ROUND(calls[[#This Row],[Satisfaction Rating]],0)</f>
        <v>5</v>
      </c>
    </row>
    <row r="522" spans="1:11" ht="13.8" x14ac:dyDescent="0.25">
      <c r="A522" t="s">
        <v>551</v>
      </c>
      <c r="B522" t="s">
        <v>84</v>
      </c>
      <c r="C522">
        <v>39</v>
      </c>
      <c r="D522" s="4" t="s">
        <v>18</v>
      </c>
      <c r="E522" s="5">
        <v>45078</v>
      </c>
      <c r="F522">
        <v>46</v>
      </c>
      <c r="G522">
        <v>4.5999999999999996</v>
      </c>
      <c r="H522">
        <f>IF(MONTH(calls[[#This Row],[Date of Call]])&lt;=6, YEAR(calls[[#This Row],[Date of Call]]), YEAR(calls[[#This Row],[Date of Call]])+1)</f>
        <v>2023</v>
      </c>
      <c r="I522" t="str">
        <f>TEXT(calls[[#This Row],[Date of Call]],"DDDD")</f>
        <v>Thursday</v>
      </c>
      <c r="J522" t="str">
        <f t="array" ref="J522">_xlfn.IFS(calls[[#This Row],[Duration]]&lt;=10,"Under 10 mins", calls[[#This Row],[Duration]]&lt;=30, "10 to 30 mins", calls[[#This Row],[Duration]]&lt;=60, "30 to 60 mins", calls[[#This Row],[Duration]]&lt;=120, "1 to 2 hours", TRUE, "More than 2 hours")</f>
        <v>30 to 60 mins</v>
      </c>
      <c r="K522">
        <f>ROUND(calls[[#This Row],[Satisfaction Rating]],0)</f>
        <v>5</v>
      </c>
    </row>
    <row r="523" spans="1:11" ht="13.8" x14ac:dyDescent="0.25">
      <c r="A523" t="s">
        <v>552</v>
      </c>
      <c r="B523" t="s">
        <v>35</v>
      </c>
      <c r="C523">
        <v>111</v>
      </c>
      <c r="D523" s="4" t="s">
        <v>32</v>
      </c>
      <c r="E523" s="5">
        <v>45078</v>
      </c>
      <c r="F523">
        <v>210</v>
      </c>
      <c r="G523">
        <v>4.3</v>
      </c>
      <c r="H523">
        <f>IF(MONTH(calls[[#This Row],[Date of Call]])&lt;=6, YEAR(calls[[#This Row],[Date of Call]]), YEAR(calls[[#This Row],[Date of Call]])+1)</f>
        <v>2023</v>
      </c>
      <c r="I523" t="str">
        <f>TEXT(calls[[#This Row],[Date of Call]],"DDDD")</f>
        <v>Thursday</v>
      </c>
      <c r="J523" t="str">
        <f t="array" ref="J523">_xlfn.IFS(calls[[#This Row],[Duration]]&lt;=10,"Under 10 mins", calls[[#This Row],[Duration]]&lt;=30, "10 to 30 mins", calls[[#This Row],[Duration]]&lt;=60, "30 to 60 mins", calls[[#This Row],[Duration]]&lt;=120, "1 to 2 hours", TRUE, "More than 2 hours")</f>
        <v>1 to 2 hours</v>
      </c>
      <c r="K523">
        <f>ROUND(calls[[#This Row],[Satisfaction Rating]],0)</f>
        <v>4</v>
      </c>
    </row>
    <row r="524" spans="1:11" ht="13.8" x14ac:dyDescent="0.25">
      <c r="A524" t="s">
        <v>553</v>
      </c>
      <c r="B524" t="s">
        <v>54</v>
      </c>
      <c r="C524">
        <v>141</v>
      </c>
      <c r="D524" s="4" t="s">
        <v>23</v>
      </c>
      <c r="E524" s="5">
        <v>45080</v>
      </c>
      <c r="F524">
        <v>54</v>
      </c>
      <c r="G524">
        <v>4.8</v>
      </c>
      <c r="H524">
        <f>IF(MONTH(calls[[#This Row],[Date of Call]])&lt;=6, YEAR(calls[[#This Row],[Date of Call]]), YEAR(calls[[#This Row],[Date of Call]])+1)</f>
        <v>2023</v>
      </c>
      <c r="I524" t="str">
        <f>TEXT(calls[[#This Row],[Date of Call]],"DDDD")</f>
        <v>Saturday</v>
      </c>
      <c r="J524" t="str">
        <f t="array" ref="J524">_xlfn.IFS(calls[[#This Row],[Duration]]&lt;=10,"Under 10 mins", calls[[#This Row],[Duration]]&lt;=30, "10 to 30 mins", calls[[#This Row],[Duration]]&lt;=60, "30 to 60 mins", calls[[#This Row],[Duration]]&lt;=120, "1 to 2 hours", TRUE, "More than 2 hours")</f>
        <v>More than 2 hours</v>
      </c>
      <c r="K524">
        <f>ROUND(calls[[#This Row],[Satisfaction Rating]],0)</f>
        <v>5</v>
      </c>
    </row>
    <row r="525" spans="1:11" ht="13.8" x14ac:dyDescent="0.25">
      <c r="A525" t="s">
        <v>554</v>
      </c>
      <c r="B525" t="s">
        <v>26</v>
      </c>
      <c r="C525">
        <v>147</v>
      </c>
      <c r="D525" s="4" t="s">
        <v>32</v>
      </c>
      <c r="E525" s="5">
        <v>45080</v>
      </c>
      <c r="F525">
        <v>115</v>
      </c>
      <c r="G525">
        <v>4.7</v>
      </c>
      <c r="H525">
        <f>IF(MONTH(calls[[#This Row],[Date of Call]])&lt;=6, YEAR(calls[[#This Row],[Date of Call]]), YEAR(calls[[#This Row],[Date of Call]])+1)</f>
        <v>2023</v>
      </c>
      <c r="I525" t="str">
        <f>TEXT(calls[[#This Row],[Date of Call]],"DDDD")</f>
        <v>Saturday</v>
      </c>
      <c r="J525" t="str">
        <f t="array" ref="J525">_xlfn.IFS(calls[[#This Row],[Duration]]&lt;=10,"Under 10 mins", calls[[#This Row],[Duration]]&lt;=30, "10 to 30 mins", calls[[#This Row],[Duration]]&lt;=60, "30 to 60 mins", calls[[#This Row],[Duration]]&lt;=120, "1 to 2 hours", TRUE, "More than 2 hours")</f>
        <v>More than 2 hours</v>
      </c>
      <c r="K525">
        <f>ROUND(calls[[#This Row],[Satisfaction Rating]],0)</f>
        <v>5</v>
      </c>
    </row>
    <row r="526" spans="1:11" ht="13.8" x14ac:dyDescent="0.25">
      <c r="A526" t="s">
        <v>555</v>
      </c>
      <c r="B526" t="s">
        <v>51</v>
      </c>
      <c r="C526">
        <v>49</v>
      </c>
      <c r="D526" s="4" t="s">
        <v>18</v>
      </c>
      <c r="E526" s="5">
        <v>45081</v>
      </c>
      <c r="F526">
        <v>100</v>
      </c>
      <c r="G526">
        <v>2.2000000000000002</v>
      </c>
      <c r="H526">
        <f>IF(MONTH(calls[[#This Row],[Date of Call]])&lt;=6, YEAR(calls[[#This Row],[Date of Call]]), YEAR(calls[[#This Row],[Date of Call]])+1)</f>
        <v>2023</v>
      </c>
      <c r="I526" t="str">
        <f>TEXT(calls[[#This Row],[Date of Call]],"DDDD")</f>
        <v>Sunday</v>
      </c>
      <c r="J526" t="str">
        <f t="array" ref="J526">_xlfn.IFS(calls[[#This Row],[Duration]]&lt;=10,"Under 10 mins", calls[[#This Row],[Duration]]&lt;=30, "10 to 30 mins", calls[[#This Row],[Duration]]&lt;=60, "30 to 60 mins", calls[[#This Row],[Duration]]&lt;=120, "1 to 2 hours", TRUE, "More than 2 hours")</f>
        <v>30 to 60 mins</v>
      </c>
      <c r="K526">
        <f>ROUND(calls[[#This Row],[Satisfaction Rating]],0)</f>
        <v>2</v>
      </c>
    </row>
    <row r="527" spans="1:11" ht="13.8" x14ac:dyDescent="0.25">
      <c r="A527" t="s">
        <v>556</v>
      </c>
      <c r="B527" t="s">
        <v>17</v>
      </c>
      <c r="C527">
        <v>75</v>
      </c>
      <c r="D527" s="4" t="s">
        <v>32</v>
      </c>
      <c r="E527" s="5">
        <v>45081</v>
      </c>
      <c r="F527">
        <v>38</v>
      </c>
      <c r="G527">
        <v>4.4000000000000004</v>
      </c>
      <c r="H527">
        <f>IF(MONTH(calls[[#This Row],[Date of Call]])&lt;=6, YEAR(calls[[#This Row],[Date of Call]]), YEAR(calls[[#This Row],[Date of Call]])+1)</f>
        <v>2023</v>
      </c>
      <c r="I527" t="str">
        <f>TEXT(calls[[#This Row],[Date of Call]],"DDDD")</f>
        <v>Sunday</v>
      </c>
      <c r="J527" t="str">
        <f t="array" ref="J527">_xlfn.IFS(calls[[#This Row],[Duration]]&lt;=10,"Under 10 mins", calls[[#This Row],[Duration]]&lt;=30, "10 to 30 mins", calls[[#This Row],[Duration]]&lt;=60, "30 to 60 mins", calls[[#This Row],[Duration]]&lt;=120, "1 to 2 hours", TRUE, "More than 2 hours")</f>
        <v>1 to 2 hours</v>
      </c>
      <c r="K527">
        <f>ROUND(calls[[#This Row],[Satisfaction Rating]],0)</f>
        <v>4</v>
      </c>
    </row>
    <row r="528" spans="1:11" ht="13.8" x14ac:dyDescent="0.25">
      <c r="A528" t="s">
        <v>557</v>
      </c>
      <c r="B528" t="s">
        <v>54</v>
      </c>
      <c r="C528">
        <v>48</v>
      </c>
      <c r="D528" s="4" t="s">
        <v>23</v>
      </c>
      <c r="E528" s="5">
        <v>45082</v>
      </c>
      <c r="F528">
        <v>120</v>
      </c>
      <c r="G528">
        <v>4.0999999999999996</v>
      </c>
      <c r="H528">
        <f>IF(MONTH(calls[[#This Row],[Date of Call]])&lt;=6, YEAR(calls[[#This Row],[Date of Call]]), YEAR(calls[[#This Row],[Date of Call]])+1)</f>
        <v>2023</v>
      </c>
      <c r="I528" t="str">
        <f>TEXT(calls[[#This Row],[Date of Call]],"DDDD")</f>
        <v>Monday</v>
      </c>
      <c r="J528" t="str">
        <f t="array" ref="J528">_xlfn.IFS(calls[[#This Row],[Duration]]&lt;=10,"Under 10 mins", calls[[#This Row],[Duration]]&lt;=30, "10 to 30 mins", calls[[#This Row],[Duration]]&lt;=60, "30 to 60 mins", calls[[#This Row],[Duration]]&lt;=120, "1 to 2 hours", TRUE, "More than 2 hours")</f>
        <v>30 to 60 mins</v>
      </c>
      <c r="K528">
        <f>ROUND(calls[[#This Row],[Satisfaction Rating]],0)</f>
        <v>4</v>
      </c>
    </row>
    <row r="529" spans="1:11" ht="13.8" x14ac:dyDescent="0.25">
      <c r="A529" t="s">
        <v>558</v>
      </c>
      <c r="B529" t="s">
        <v>43</v>
      </c>
      <c r="C529">
        <v>48</v>
      </c>
      <c r="D529" s="4" t="s">
        <v>23</v>
      </c>
      <c r="E529" s="5">
        <v>45082</v>
      </c>
      <c r="F529">
        <v>120</v>
      </c>
      <c r="G529">
        <v>4.0999999999999996</v>
      </c>
      <c r="H529">
        <f>IF(MONTH(calls[[#This Row],[Date of Call]])&lt;=6, YEAR(calls[[#This Row],[Date of Call]]), YEAR(calls[[#This Row],[Date of Call]])+1)</f>
        <v>2023</v>
      </c>
      <c r="I529" t="str">
        <f>TEXT(calls[[#This Row],[Date of Call]],"DDDD")</f>
        <v>Monday</v>
      </c>
      <c r="J529" t="str">
        <f t="array" ref="J529">_xlfn.IFS(calls[[#This Row],[Duration]]&lt;=10,"Under 10 mins", calls[[#This Row],[Duration]]&lt;=30, "10 to 30 mins", calls[[#This Row],[Duration]]&lt;=60, "30 to 60 mins", calls[[#This Row],[Duration]]&lt;=120, "1 to 2 hours", TRUE, "More than 2 hours")</f>
        <v>30 to 60 mins</v>
      </c>
      <c r="K529">
        <f>ROUND(calls[[#This Row],[Satisfaction Rating]],0)</f>
        <v>4</v>
      </c>
    </row>
    <row r="530" spans="1:11" ht="13.8" x14ac:dyDescent="0.25">
      <c r="A530" t="s">
        <v>559</v>
      </c>
      <c r="B530" t="s">
        <v>15</v>
      </c>
      <c r="C530">
        <v>138</v>
      </c>
      <c r="D530" s="4" t="s">
        <v>18</v>
      </c>
      <c r="E530" s="5">
        <v>45082</v>
      </c>
      <c r="F530">
        <v>29</v>
      </c>
      <c r="G530">
        <v>4.4000000000000004</v>
      </c>
      <c r="H530">
        <f>IF(MONTH(calls[[#This Row],[Date of Call]])&lt;=6, YEAR(calls[[#This Row],[Date of Call]]), YEAR(calls[[#This Row],[Date of Call]])+1)</f>
        <v>2023</v>
      </c>
      <c r="I530" t="str">
        <f>TEXT(calls[[#This Row],[Date of Call]],"DDDD")</f>
        <v>Monday</v>
      </c>
      <c r="J530" t="str">
        <f t="array" ref="J530">_xlfn.IFS(calls[[#This Row],[Duration]]&lt;=10,"Under 10 mins", calls[[#This Row],[Duration]]&lt;=30, "10 to 30 mins", calls[[#This Row],[Duration]]&lt;=60, "30 to 60 mins", calls[[#This Row],[Duration]]&lt;=120, "1 to 2 hours", TRUE, "More than 2 hours")</f>
        <v>More than 2 hours</v>
      </c>
      <c r="K530">
        <f>ROUND(calls[[#This Row],[Satisfaction Rating]],0)</f>
        <v>4</v>
      </c>
    </row>
    <row r="531" spans="1:11" ht="13.8" x14ac:dyDescent="0.25">
      <c r="A531" t="s">
        <v>560</v>
      </c>
      <c r="B531" t="s">
        <v>46</v>
      </c>
      <c r="C531">
        <v>144</v>
      </c>
      <c r="D531" s="4" t="s">
        <v>18</v>
      </c>
      <c r="E531" s="5">
        <v>45083</v>
      </c>
      <c r="F531">
        <v>25</v>
      </c>
      <c r="G531">
        <v>3.7</v>
      </c>
      <c r="H531">
        <f>IF(MONTH(calls[[#This Row],[Date of Call]])&lt;=6, YEAR(calls[[#This Row],[Date of Call]]), YEAR(calls[[#This Row],[Date of Call]])+1)</f>
        <v>2023</v>
      </c>
      <c r="I531" t="str">
        <f>TEXT(calls[[#This Row],[Date of Call]],"DDDD")</f>
        <v>Tuesday</v>
      </c>
      <c r="J531" t="str">
        <f t="array" ref="J531">_xlfn.IFS(calls[[#This Row],[Duration]]&lt;=10,"Under 10 mins", calls[[#This Row],[Duration]]&lt;=30, "10 to 30 mins", calls[[#This Row],[Duration]]&lt;=60, "30 to 60 mins", calls[[#This Row],[Duration]]&lt;=120, "1 to 2 hours", TRUE, "More than 2 hours")</f>
        <v>More than 2 hours</v>
      </c>
      <c r="K531">
        <f>ROUND(calls[[#This Row],[Satisfaction Rating]],0)</f>
        <v>4</v>
      </c>
    </row>
    <row r="532" spans="1:11" ht="13.8" x14ac:dyDescent="0.25">
      <c r="A532" t="s">
        <v>561</v>
      </c>
      <c r="B532" t="s">
        <v>64</v>
      </c>
      <c r="C532">
        <v>119</v>
      </c>
      <c r="D532" s="4" t="s">
        <v>32</v>
      </c>
      <c r="E532" s="5">
        <v>45084</v>
      </c>
      <c r="F532">
        <v>116</v>
      </c>
      <c r="G532">
        <v>3.8</v>
      </c>
      <c r="H532">
        <f>IF(MONTH(calls[[#This Row],[Date of Call]])&lt;=6, YEAR(calls[[#This Row],[Date of Call]]), YEAR(calls[[#This Row],[Date of Call]])+1)</f>
        <v>2023</v>
      </c>
      <c r="I532" t="str">
        <f>TEXT(calls[[#This Row],[Date of Call]],"DDDD")</f>
        <v>Wednesday</v>
      </c>
      <c r="J532" t="str">
        <f t="array" ref="J532">_xlfn.IFS(calls[[#This Row],[Duration]]&lt;=10,"Under 10 mins", calls[[#This Row],[Duration]]&lt;=30, "10 to 30 mins", calls[[#This Row],[Duration]]&lt;=60, "30 to 60 mins", calls[[#This Row],[Duration]]&lt;=120, "1 to 2 hours", TRUE, "More than 2 hours")</f>
        <v>1 to 2 hours</v>
      </c>
      <c r="K532">
        <f>ROUND(calls[[#This Row],[Satisfaction Rating]],0)</f>
        <v>4</v>
      </c>
    </row>
    <row r="533" spans="1:11" ht="13.8" x14ac:dyDescent="0.25">
      <c r="A533" t="s">
        <v>562</v>
      </c>
      <c r="B533" t="s">
        <v>15</v>
      </c>
      <c r="C533">
        <v>101</v>
      </c>
      <c r="D533" s="4" t="s">
        <v>23</v>
      </c>
      <c r="E533" s="5">
        <v>45085</v>
      </c>
      <c r="F533">
        <v>132</v>
      </c>
      <c r="G533">
        <v>4.3</v>
      </c>
      <c r="H533">
        <f>IF(MONTH(calls[[#This Row],[Date of Call]])&lt;=6, YEAR(calls[[#This Row],[Date of Call]]), YEAR(calls[[#This Row],[Date of Call]])+1)</f>
        <v>2023</v>
      </c>
      <c r="I533" t="str">
        <f>TEXT(calls[[#This Row],[Date of Call]],"DDDD")</f>
        <v>Thursday</v>
      </c>
      <c r="J533" t="str">
        <f t="array" ref="J533">_xlfn.IFS(calls[[#This Row],[Duration]]&lt;=10,"Under 10 mins", calls[[#This Row],[Duration]]&lt;=30, "10 to 30 mins", calls[[#This Row],[Duration]]&lt;=60, "30 to 60 mins", calls[[#This Row],[Duration]]&lt;=120, "1 to 2 hours", TRUE, "More than 2 hours")</f>
        <v>1 to 2 hours</v>
      </c>
      <c r="K533">
        <f>ROUND(calls[[#This Row],[Satisfaction Rating]],0)</f>
        <v>4</v>
      </c>
    </row>
    <row r="534" spans="1:11" ht="13.8" x14ac:dyDescent="0.25">
      <c r="A534" t="s">
        <v>563</v>
      </c>
      <c r="B534" t="s">
        <v>46</v>
      </c>
      <c r="C534">
        <v>59</v>
      </c>
      <c r="D534" s="4" t="s">
        <v>32</v>
      </c>
      <c r="E534" s="5">
        <v>45086</v>
      </c>
      <c r="F534">
        <v>90</v>
      </c>
      <c r="G534">
        <v>3.5</v>
      </c>
      <c r="H534">
        <f>IF(MONTH(calls[[#This Row],[Date of Call]])&lt;=6, YEAR(calls[[#This Row],[Date of Call]]), YEAR(calls[[#This Row],[Date of Call]])+1)</f>
        <v>2023</v>
      </c>
      <c r="I534" t="str">
        <f>TEXT(calls[[#This Row],[Date of Call]],"DDDD")</f>
        <v>Friday</v>
      </c>
      <c r="J534" t="str">
        <f t="array" ref="J534">_xlfn.IFS(calls[[#This Row],[Duration]]&lt;=10,"Under 10 mins", calls[[#This Row],[Duration]]&lt;=30, "10 to 30 mins", calls[[#This Row],[Duration]]&lt;=60, "30 to 60 mins", calls[[#This Row],[Duration]]&lt;=120, "1 to 2 hours", TRUE, "More than 2 hours")</f>
        <v>30 to 60 mins</v>
      </c>
      <c r="K534">
        <f>ROUND(calls[[#This Row],[Satisfaction Rating]],0)</f>
        <v>4</v>
      </c>
    </row>
    <row r="535" spans="1:11" ht="13.8" x14ac:dyDescent="0.25">
      <c r="A535" t="s">
        <v>564</v>
      </c>
      <c r="B535" t="s">
        <v>35</v>
      </c>
      <c r="C535">
        <v>125</v>
      </c>
      <c r="D535" s="4" t="s">
        <v>13</v>
      </c>
      <c r="E535" s="5">
        <v>45086</v>
      </c>
      <c r="F535">
        <v>87</v>
      </c>
      <c r="G535">
        <v>4.0999999999999996</v>
      </c>
      <c r="H535">
        <f>IF(MONTH(calls[[#This Row],[Date of Call]])&lt;=6, YEAR(calls[[#This Row],[Date of Call]]), YEAR(calls[[#This Row],[Date of Call]])+1)</f>
        <v>2023</v>
      </c>
      <c r="I535" t="str">
        <f>TEXT(calls[[#This Row],[Date of Call]],"DDDD")</f>
        <v>Friday</v>
      </c>
      <c r="J535" t="str">
        <f t="array" ref="J535">_xlfn.IFS(calls[[#This Row],[Duration]]&lt;=10,"Under 10 mins", calls[[#This Row],[Duration]]&lt;=30, "10 to 30 mins", calls[[#This Row],[Duration]]&lt;=60, "30 to 60 mins", calls[[#This Row],[Duration]]&lt;=120, "1 to 2 hours", TRUE, "More than 2 hours")</f>
        <v>More than 2 hours</v>
      </c>
      <c r="K535">
        <f>ROUND(calls[[#This Row],[Satisfaction Rating]],0)</f>
        <v>4</v>
      </c>
    </row>
    <row r="536" spans="1:11" ht="13.8" x14ac:dyDescent="0.25">
      <c r="A536" t="s">
        <v>565</v>
      </c>
      <c r="B536" t="s">
        <v>31</v>
      </c>
      <c r="C536">
        <v>147</v>
      </c>
      <c r="D536" s="4" t="s">
        <v>32</v>
      </c>
      <c r="E536" s="5">
        <v>45086</v>
      </c>
      <c r="F536">
        <v>140</v>
      </c>
      <c r="G536">
        <v>4.2</v>
      </c>
      <c r="H536">
        <f>IF(MONTH(calls[[#This Row],[Date of Call]])&lt;=6, YEAR(calls[[#This Row],[Date of Call]]), YEAR(calls[[#This Row],[Date of Call]])+1)</f>
        <v>2023</v>
      </c>
      <c r="I536" t="str">
        <f>TEXT(calls[[#This Row],[Date of Call]],"DDDD")</f>
        <v>Friday</v>
      </c>
      <c r="J536" t="str">
        <f t="array" ref="J536">_xlfn.IFS(calls[[#This Row],[Duration]]&lt;=10,"Under 10 mins", calls[[#This Row],[Duration]]&lt;=30, "10 to 30 mins", calls[[#This Row],[Duration]]&lt;=60, "30 to 60 mins", calls[[#This Row],[Duration]]&lt;=120, "1 to 2 hours", TRUE, "More than 2 hours")</f>
        <v>More than 2 hours</v>
      </c>
      <c r="K536">
        <f>ROUND(calls[[#This Row],[Satisfaction Rating]],0)</f>
        <v>4</v>
      </c>
    </row>
    <row r="537" spans="1:11" ht="13.8" x14ac:dyDescent="0.25">
      <c r="A537" t="s">
        <v>566</v>
      </c>
      <c r="B537" t="s">
        <v>37</v>
      </c>
      <c r="C537">
        <v>76</v>
      </c>
      <c r="D537" s="4" t="s">
        <v>32</v>
      </c>
      <c r="E537" s="5">
        <v>45086</v>
      </c>
      <c r="F537">
        <v>164</v>
      </c>
      <c r="G537">
        <v>4.5</v>
      </c>
      <c r="H537">
        <f>IF(MONTH(calls[[#This Row],[Date of Call]])&lt;=6, YEAR(calls[[#This Row],[Date of Call]]), YEAR(calls[[#This Row],[Date of Call]])+1)</f>
        <v>2023</v>
      </c>
      <c r="I537" t="str">
        <f>TEXT(calls[[#This Row],[Date of Call]],"DDDD")</f>
        <v>Friday</v>
      </c>
      <c r="J537" t="str">
        <f t="array" ref="J537">_xlfn.IFS(calls[[#This Row],[Duration]]&lt;=10,"Under 10 mins", calls[[#This Row],[Duration]]&lt;=30, "10 to 30 mins", calls[[#This Row],[Duration]]&lt;=60, "30 to 60 mins", calls[[#This Row],[Duration]]&lt;=120, "1 to 2 hours", TRUE, "More than 2 hours")</f>
        <v>1 to 2 hours</v>
      </c>
      <c r="K537">
        <f>ROUND(calls[[#This Row],[Satisfaction Rating]],0)</f>
        <v>5</v>
      </c>
    </row>
    <row r="538" spans="1:11" ht="13.8" x14ac:dyDescent="0.25">
      <c r="A538" t="s">
        <v>567</v>
      </c>
      <c r="B538" t="s">
        <v>26</v>
      </c>
      <c r="C538">
        <v>99</v>
      </c>
      <c r="D538" s="4" t="s">
        <v>23</v>
      </c>
      <c r="E538" s="5">
        <v>45087</v>
      </c>
      <c r="F538">
        <v>180</v>
      </c>
      <c r="G538">
        <v>3.8</v>
      </c>
      <c r="H538">
        <f>IF(MONTH(calls[[#This Row],[Date of Call]])&lt;=6, YEAR(calls[[#This Row],[Date of Call]]), YEAR(calls[[#This Row],[Date of Call]])+1)</f>
        <v>2023</v>
      </c>
      <c r="I538" t="str">
        <f>TEXT(calls[[#This Row],[Date of Call]],"DDDD")</f>
        <v>Saturday</v>
      </c>
      <c r="J538" t="str">
        <f t="array" ref="J538">_xlfn.IFS(calls[[#This Row],[Duration]]&lt;=10,"Under 10 mins", calls[[#This Row],[Duration]]&lt;=30, "10 to 30 mins", calls[[#This Row],[Duration]]&lt;=60, "30 to 60 mins", calls[[#This Row],[Duration]]&lt;=120, "1 to 2 hours", TRUE, "More than 2 hours")</f>
        <v>1 to 2 hours</v>
      </c>
      <c r="K538">
        <f>ROUND(calls[[#This Row],[Satisfaction Rating]],0)</f>
        <v>4</v>
      </c>
    </row>
    <row r="539" spans="1:11" ht="13.8" x14ac:dyDescent="0.25">
      <c r="A539" t="s">
        <v>568</v>
      </c>
      <c r="B539" t="s">
        <v>84</v>
      </c>
      <c r="C539">
        <v>111</v>
      </c>
      <c r="D539" s="4" t="s">
        <v>28</v>
      </c>
      <c r="E539" s="5">
        <v>45088</v>
      </c>
      <c r="F539">
        <v>22</v>
      </c>
      <c r="G539">
        <v>4.0999999999999996</v>
      </c>
      <c r="H539">
        <f>IF(MONTH(calls[[#This Row],[Date of Call]])&lt;=6, YEAR(calls[[#This Row],[Date of Call]]), YEAR(calls[[#This Row],[Date of Call]])+1)</f>
        <v>2023</v>
      </c>
      <c r="I539" t="str">
        <f>TEXT(calls[[#This Row],[Date of Call]],"DDDD")</f>
        <v>Sunday</v>
      </c>
      <c r="J539" t="str">
        <f t="array" ref="J539">_xlfn.IFS(calls[[#This Row],[Duration]]&lt;=10,"Under 10 mins", calls[[#This Row],[Duration]]&lt;=30, "10 to 30 mins", calls[[#This Row],[Duration]]&lt;=60, "30 to 60 mins", calls[[#This Row],[Duration]]&lt;=120, "1 to 2 hours", TRUE, "More than 2 hours")</f>
        <v>1 to 2 hours</v>
      </c>
      <c r="K539">
        <f>ROUND(calls[[#This Row],[Satisfaction Rating]],0)</f>
        <v>4</v>
      </c>
    </row>
    <row r="540" spans="1:11" ht="13.8" x14ac:dyDescent="0.25">
      <c r="A540" t="s">
        <v>569</v>
      </c>
      <c r="B540" t="s">
        <v>22</v>
      </c>
      <c r="C540">
        <v>147</v>
      </c>
      <c r="D540" s="4" t="s">
        <v>13</v>
      </c>
      <c r="E540" s="5">
        <v>45088</v>
      </c>
      <c r="F540">
        <v>82</v>
      </c>
      <c r="G540">
        <v>4.4000000000000004</v>
      </c>
      <c r="H540">
        <f>IF(MONTH(calls[[#This Row],[Date of Call]])&lt;=6, YEAR(calls[[#This Row],[Date of Call]]), YEAR(calls[[#This Row],[Date of Call]])+1)</f>
        <v>2023</v>
      </c>
      <c r="I540" t="str">
        <f>TEXT(calls[[#This Row],[Date of Call]],"DDDD")</f>
        <v>Sunday</v>
      </c>
      <c r="J540" t="str">
        <f t="array" ref="J540">_xlfn.IFS(calls[[#This Row],[Duration]]&lt;=10,"Under 10 mins", calls[[#This Row],[Duration]]&lt;=30, "10 to 30 mins", calls[[#This Row],[Duration]]&lt;=60, "30 to 60 mins", calls[[#This Row],[Duration]]&lt;=120, "1 to 2 hours", TRUE, "More than 2 hours")</f>
        <v>More than 2 hours</v>
      </c>
      <c r="K540">
        <f>ROUND(calls[[#This Row],[Satisfaction Rating]],0)</f>
        <v>4</v>
      </c>
    </row>
    <row r="541" spans="1:11" ht="13.8" x14ac:dyDescent="0.25">
      <c r="A541" t="s">
        <v>570</v>
      </c>
      <c r="B541" t="s">
        <v>12</v>
      </c>
      <c r="C541">
        <v>141</v>
      </c>
      <c r="D541" s="4" t="s">
        <v>23</v>
      </c>
      <c r="E541" s="5">
        <v>45088</v>
      </c>
      <c r="F541">
        <v>100</v>
      </c>
      <c r="G541">
        <v>4.5999999999999996</v>
      </c>
      <c r="H541">
        <f>IF(MONTH(calls[[#This Row],[Date of Call]])&lt;=6, YEAR(calls[[#This Row],[Date of Call]]), YEAR(calls[[#This Row],[Date of Call]])+1)</f>
        <v>2023</v>
      </c>
      <c r="I541" t="str">
        <f>TEXT(calls[[#This Row],[Date of Call]],"DDDD")</f>
        <v>Sunday</v>
      </c>
      <c r="J541" t="str">
        <f t="array" ref="J541">_xlfn.IFS(calls[[#This Row],[Duration]]&lt;=10,"Under 10 mins", calls[[#This Row],[Duration]]&lt;=30, "10 to 30 mins", calls[[#This Row],[Duration]]&lt;=60, "30 to 60 mins", calls[[#This Row],[Duration]]&lt;=120, "1 to 2 hours", TRUE, "More than 2 hours")</f>
        <v>More than 2 hours</v>
      </c>
      <c r="K541">
        <f>ROUND(calls[[#This Row],[Satisfaction Rating]],0)</f>
        <v>5</v>
      </c>
    </row>
    <row r="542" spans="1:11" ht="13.8" x14ac:dyDescent="0.25">
      <c r="A542" t="s">
        <v>571</v>
      </c>
      <c r="B542" t="s">
        <v>37</v>
      </c>
      <c r="C542">
        <v>71</v>
      </c>
      <c r="D542" s="4" t="s">
        <v>32</v>
      </c>
      <c r="E542" s="5">
        <v>45089</v>
      </c>
      <c r="F542">
        <v>52</v>
      </c>
      <c r="G542">
        <v>3.4</v>
      </c>
      <c r="H542">
        <f>IF(MONTH(calls[[#This Row],[Date of Call]])&lt;=6, YEAR(calls[[#This Row],[Date of Call]]), YEAR(calls[[#This Row],[Date of Call]])+1)</f>
        <v>2023</v>
      </c>
      <c r="I542" t="str">
        <f>TEXT(calls[[#This Row],[Date of Call]],"DDDD")</f>
        <v>Monday</v>
      </c>
      <c r="J542" t="str">
        <f t="array" ref="J542">_xlfn.IFS(calls[[#This Row],[Duration]]&lt;=10,"Under 10 mins", calls[[#This Row],[Duration]]&lt;=30, "10 to 30 mins", calls[[#This Row],[Duration]]&lt;=60, "30 to 60 mins", calls[[#This Row],[Duration]]&lt;=120, "1 to 2 hours", TRUE, "More than 2 hours")</f>
        <v>1 to 2 hours</v>
      </c>
      <c r="K542">
        <f>ROUND(calls[[#This Row],[Satisfaction Rating]],0)</f>
        <v>3</v>
      </c>
    </row>
    <row r="543" spans="1:11" ht="13.8" x14ac:dyDescent="0.25">
      <c r="A543" t="s">
        <v>572</v>
      </c>
      <c r="B543" t="s">
        <v>37</v>
      </c>
      <c r="C543">
        <v>121</v>
      </c>
      <c r="D543" s="4" t="s">
        <v>13</v>
      </c>
      <c r="E543" s="5">
        <v>45090</v>
      </c>
      <c r="F543">
        <v>84</v>
      </c>
      <c r="G543">
        <v>4.5999999999999996</v>
      </c>
      <c r="H543">
        <f>IF(MONTH(calls[[#This Row],[Date of Call]])&lt;=6, YEAR(calls[[#This Row],[Date of Call]]), YEAR(calls[[#This Row],[Date of Call]])+1)</f>
        <v>2023</v>
      </c>
      <c r="I543" t="str">
        <f>TEXT(calls[[#This Row],[Date of Call]],"DDDD")</f>
        <v>Tuesday</v>
      </c>
      <c r="J543" t="str">
        <f t="array" ref="J543">_xlfn.IFS(calls[[#This Row],[Duration]]&lt;=10,"Under 10 mins", calls[[#This Row],[Duration]]&lt;=30, "10 to 30 mins", calls[[#This Row],[Duration]]&lt;=60, "30 to 60 mins", calls[[#This Row],[Duration]]&lt;=120, "1 to 2 hours", TRUE, "More than 2 hours")</f>
        <v>More than 2 hours</v>
      </c>
      <c r="K543">
        <f>ROUND(calls[[#This Row],[Satisfaction Rating]],0)</f>
        <v>5</v>
      </c>
    </row>
    <row r="544" spans="1:11" ht="13.8" x14ac:dyDescent="0.25">
      <c r="A544" t="s">
        <v>573</v>
      </c>
      <c r="B544" t="s">
        <v>37</v>
      </c>
      <c r="C544">
        <v>60</v>
      </c>
      <c r="D544" s="4" t="s">
        <v>13</v>
      </c>
      <c r="E544" s="5">
        <v>45090</v>
      </c>
      <c r="F544">
        <v>37</v>
      </c>
      <c r="G544">
        <v>3.9</v>
      </c>
      <c r="H544">
        <f>IF(MONTH(calls[[#This Row],[Date of Call]])&lt;=6, YEAR(calls[[#This Row],[Date of Call]]), YEAR(calls[[#This Row],[Date of Call]])+1)</f>
        <v>2023</v>
      </c>
      <c r="I544" t="str">
        <f>TEXT(calls[[#This Row],[Date of Call]],"DDDD")</f>
        <v>Tuesday</v>
      </c>
      <c r="J544" t="str">
        <f t="array" ref="J544">_xlfn.IFS(calls[[#This Row],[Duration]]&lt;=10,"Under 10 mins", calls[[#This Row],[Duration]]&lt;=30, "10 to 30 mins", calls[[#This Row],[Duration]]&lt;=60, "30 to 60 mins", calls[[#This Row],[Duration]]&lt;=120, "1 to 2 hours", TRUE, "More than 2 hours")</f>
        <v>30 to 60 mins</v>
      </c>
      <c r="K544">
        <f>ROUND(calls[[#This Row],[Satisfaction Rating]],0)</f>
        <v>4</v>
      </c>
    </row>
    <row r="545" spans="1:11" ht="13.8" x14ac:dyDescent="0.25">
      <c r="A545" t="s">
        <v>574</v>
      </c>
      <c r="B545" t="s">
        <v>51</v>
      </c>
      <c r="C545">
        <v>158</v>
      </c>
      <c r="D545" s="4" t="s">
        <v>23</v>
      </c>
      <c r="E545" s="5">
        <v>45091</v>
      </c>
      <c r="F545">
        <v>190</v>
      </c>
      <c r="G545">
        <v>4</v>
      </c>
      <c r="H545">
        <f>IF(MONTH(calls[[#This Row],[Date of Call]])&lt;=6, YEAR(calls[[#This Row],[Date of Call]]), YEAR(calls[[#This Row],[Date of Call]])+1)</f>
        <v>2023</v>
      </c>
      <c r="I545" t="str">
        <f>TEXT(calls[[#This Row],[Date of Call]],"DDDD")</f>
        <v>Wednesday</v>
      </c>
      <c r="J545" t="str">
        <f t="array" ref="J545">_xlfn.IFS(calls[[#This Row],[Duration]]&lt;=10,"Under 10 mins", calls[[#This Row],[Duration]]&lt;=30, "10 to 30 mins", calls[[#This Row],[Duration]]&lt;=60, "30 to 60 mins", calls[[#This Row],[Duration]]&lt;=120, "1 to 2 hours", TRUE, "More than 2 hours")</f>
        <v>More than 2 hours</v>
      </c>
      <c r="K545">
        <f>ROUND(calls[[#This Row],[Satisfaction Rating]],0)</f>
        <v>4</v>
      </c>
    </row>
    <row r="546" spans="1:11" ht="13.8" x14ac:dyDescent="0.25">
      <c r="A546" t="s">
        <v>575</v>
      </c>
      <c r="B546" t="s">
        <v>31</v>
      </c>
      <c r="C546">
        <v>159</v>
      </c>
      <c r="D546" s="4" t="s">
        <v>18</v>
      </c>
      <c r="E546" s="5">
        <v>45091</v>
      </c>
      <c r="F546">
        <v>66</v>
      </c>
      <c r="G546">
        <v>3.4</v>
      </c>
      <c r="H546">
        <f>IF(MONTH(calls[[#This Row],[Date of Call]])&lt;=6, YEAR(calls[[#This Row],[Date of Call]]), YEAR(calls[[#This Row],[Date of Call]])+1)</f>
        <v>2023</v>
      </c>
      <c r="I546" t="str">
        <f>TEXT(calls[[#This Row],[Date of Call]],"DDDD")</f>
        <v>Wednesday</v>
      </c>
      <c r="J546" t="str">
        <f t="array" ref="J546">_xlfn.IFS(calls[[#This Row],[Duration]]&lt;=10,"Under 10 mins", calls[[#This Row],[Duration]]&lt;=30, "10 to 30 mins", calls[[#This Row],[Duration]]&lt;=60, "30 to 60 mins", calls[[#This Row],[Duration]]&lt;=120, "1 to 2 hours", TRUE, "More than 2 hours")</f>
        <v>More than 2 hours</v>
      </c>
      <c r="K546">
        <f>ROUND(calls[[#This Row],[Satisfaction Rating]],0)</f>
        <v>3</v>
      </c>
    </row>
    <row r="547" spans="1:11" ht="13.8" x14ac:dyDescent="0.25">
      <c r="A547" t="s">
        <v>576</v>
      </c>
      <c r="B547" t="s">
        <v>15</v>
      </c>
      <c r="C547">
        <v>70</v>
      </c>
      <c r="D547" s="4" t="s">
        <v>32</v>
      </c>
      <c r="E547" s="5">
        <v>45092</v>
      </c>
      <c r="F547">
        <v>116</v>
      </c>
      <c r="G547">
        <v>3.2</v>
      </c>
      <c r="H547">
        <f>IF(MONTH(calls[[#This Row],[Date of Call]])&lt;=6, YEAR(calls[[#This Row],[Date of Call]]), YEAR(calls[[#This Row],[Date of Call]])+1)</f>
        <v>2023</v>
      </c>
      <c r="I547" t="str">
        <f>TEXT(calls[[#This Row],[Date of Call]],"DDDD")</f>
        <v>Thursday</v>
      </c>
      <c r="J547" t="str">
        <f t="array" ref="J547">_xlfn.IFS(calls[[#This Row],[Duration]]&lt;=10,"Under 10 mins", calls[[#This Row],[Duration]]&lt;=30, "10 to 30 mins", calls[[#This Row],[Duration]]&lt;=60, "30 to 60 mins", calls[[#This Row],[Duration]]&lt;=120, "1 to 2 hours", TRUE, "More than 2 hours")</f>
        <v>1 to 2 hours</v>
      </c>
      <c r="K547">
        <f>ROUND(calls[[#This Row],[Satisfaction Rating]],0)</f>
        <v>3</v>
      </c>
    </row>
    <row r="548" spans="1:11" ht="13.8" x14ac:dyDescent="0.25">
      <c r="A548" t="s">
        <v>577</v>
      </c>
      <c r="B548" t="s">
        <v>54</v>
      </c>
      <c r="C548">
        <v>78</v>
      </c>
      <c r="D548" s="4" t="s">
        <v>28</v>
      </c>
      <c r="E548" s="5">
        <v>45092</v>
      </c>
      <c r="F548">
        <v>28</v>
      </c>
      <c r="G548">
        <v>3.9</v>
      </c>
      <c r="H548">
        <f>IF(MONTH(calls[[#This Row],[Date of Call]])&lt;=6, YEAR(calls[[#This Row],[Date of Call]]), YEAR(calls[[#This Row],[Date of Call]])+1)</f>
        <v>2023</v>
      </c>
      <c r="I548" t="str">
        <f>TEXT(calls[[#This Row],[Date of Call]],"DDDD")</f>
        <v>Thursday</v>
      </c>
      <c r="J548" t="str">
        <f t="array" ref="J548">_xlfn.IFS(calls[[#This Row],[Duration]]&lt;=10,"Under 10 mins", calls[[#This Row],[Duration]]&lt;=30, "10 to 30 mins", calls[[#This Row],[Duration]]&lt;=60, "30 to 60 mins", calls[[#This Row],[Duration]]&lt;=120, "1 to 2 hours", TRUE, "More than 2 hours")</f>
        <v>1 to 2 hours</v>
      </c>
      <c r="K548">
        <f>ROUND(calls[[#This Row],[Satisfaction Rating]],0)</f>
        <v>4</v>
      </c>
    </row>
    <row r="549" spans="1:11" ht="13.8" x14ac:dyDescent="0.25">
      <c r="A549" t="s">
        <v>578</v>
      </c>
      <c r="B549" t="s">
        <v>22</v>
      </c>
      <c r="C549">
        <v>103</v>
      </c>
      <c r="D549" s="4" t="s">
        <v>32</v>
      </c>
      <c r="E549" s="5">
        <v>45092</v>
      </c>
      <c r="F549">
        <v>120</v>
      </c>
      <c r="G549">
        <v>5</v>
      </c>
      <c r="H549">
        <f>IF(MONTH(calls[[#This Row],[Date of Call]])&lt;=6, YEAR(calls[[#This Row],[Date of Call]]), YEAR(calls[[#This Row],[Date of Call]])+1)</f>
        <v>2023</v>
      </c>
      <c r="I549" t="str">
        <f>TEXT(calls[[#This Row],[Date of Call]],"DDDD")</f>
        <v>Thursday</v>
      </c>
      <c r="J549" t="str">
        <f t="array" ref="J549">_xlfn.IFS(calls[[#This Row],[Duration]]&lt;=10,"Under 10 mins", calls[[#This Row],[Duration]]&lt;=30, "10 to 30 mins", calls[[#This Row],[Duration]]&lt;=60, "30 to 60 mins", calls[[#This Row],[Duration]]&lt;=120, "1 to 2 hours", TRUE, "More than 2 hours")</f>
        <v>1 to 2 hours</v>
      </c>
      <c r="K549">
        <f>ROUND(calls[[#This Row],[Satisfaction Rating]],0)</f>
        <v>5</v>
      </c>
    </row>
    <row r="550" spans="1:11" ht="13.8" x14ac:dyDescent="0.25">
      <c r="A550" t="s">
        <v>579</v>
      </c>
      <c r="B550" t="s">
        <v>17</v>
      </c>
      <c r="C550">
        <v>108</v>
      </c>
      <c r="D550" s="4" t="s">
        <v>23</v>
      </c>
      <c r="E550" s="5">
        <v>45092</v>
      </c>
      <c r="F550">
        <v>56</v>
      </c>
      <c r="G550">
        <v>3.5</v>
      </c>
      <c r="H550">
        <f>IF(MONTH(calls[[#This Row],[Date of Call]])&lt;=6, YEAR(calls[[#This Row],[Date of Call]]), YEAR(calls[[#This Row],[Date of Call]])+1)</f>
        <v>2023</v>
      </c>
      <c r="I550" t="str">
        <f>TEXT(calls[[#This Row],[Date of Call]],"DDDD")</f>
        <v>Thursday</v>
      </c>
      <c r="J550" t="str">
        <f t="array" ref="J550">_xlfn.IFS(calls[[#This Row],[Duration]]&lt;=10,"Under 10 mins", calls[[#This Row],[Duration]]&lt;=30, "10 to 30 mins", calls[[#This Row],[Duration]]&lt;=60, "30 to 60 mins", calls[[#This Row],[Duration]]&lt;=120, "1 to 2 hours", TRUE, "More than 2 hours")</f>
        <v>1 to 2 hours</v>
      </c>
      <c r="K550">
        <f>ROUND(calls[[#This Row],[Satisfaction Rating]],0)</f>
        <v>4</v>
      </c>
    </row>
    <row r="551" spans="1:11" ht="13.8" x14ac:dyDescent="0.25">
      <c r="A551" t="s">
        <v>580</v>
      </c>
      <c r="B551" t="s">
        <v>17</v>
      </c>
      <c r="C551">
        <v>44</v>
      </c>
      <c r="D551" s="4" t="s">
        <v>13</v>
      </c>
      <c r="E551" s="5">
        <v>45092</v>
      </c>
      <c r="F551">
        <v>170</v>
      </c>
      <c r="G551">
        <v>3.8</v>
      </c>
      <c r="H551">
        <f>IF(MONTH(calls[[#This Row],[Date of Call]])&lt;=6, YEAR(calls[[#This Row],[Date of Call]]), YEAR(calls[[#This Row],[Date of Call]])+1)</f>
        <v>2023</v>
      </c>
      <c r="I551" t="str">
        <f>TEXT(calls[[#This Row],[Date of Call]],"DDDD")</f>
        <v>Thursday</v>
      </c>
      <c r="J551" t="str">
        <f t="array" ref="J551">_xlfn.IFS(calls[[#This Row],[Duration]]&lt;=10,"Under 10 mins", calls[[#This Row],[Duration]]&lt;=30, "10 to 30 mins", calls[[#This Row],[Duration]]&lt;=60, "30 to 60 mins", calls[[#This Row],[Duration]]&lt;=120, "1 to 2 hours", TRUE, "More than 2 hours")</f>
        <v>30 to 60 mins</v>
      </c>
      <c r="K551">
        <f>ROUND(calls[[#This Row],[Satisfaction Rating]],0)</f>
        <v>4</v>
      </c>
    </row>
    <row r="552" spans="1:11" ht="13.8" x14ac:dyDescent="0.25">
      <c r="A552" t="s">
        <v>581</v>
      </c>
      <c r="B552" t="s">
        <v>54</v>
      </c>
      <c r="C552">
        <v>127</v>
      </c>
      <c r="D552" s="4" t="s">
        <v>23</v>
      </c>
      <c r="E552" s="5">
        <v>45093</v>
      </c>
      <c r="F552">
        <v>200</v>
      </c>
      <c r="G552">
        <v>4.8</v>
      </c>
      <c r="H552">
        <f>IF(MONTH(calls[[#This Row],[Date of Call]])&lt;=6, YEAR(calls[[#This Row],[Date of Call]]), YEAR(calls[[#This Row],[Date of Call]])+1)</f>
        <v>2023</v>
      </c>
      <c r="I552" t="str">
        <f>TEXT(calls[[#This Row],[Date of Call]],"DDDD")</f>
        <v>Friday</v>
      </c>
      <c r="J552" t="str">
        <f t="array" ref="J552">_xlfn.IFS(calls[[#This Row],[Duration]]&lt;=10,"Under 10 mins", calls[[#This Row],[Duration]]&lt;=30, "10 to 30 mins", calls[[#This Row],[Duration]]&lt;=60, "30 to 60 mins", calls[[#This Row],[Duration]]&lt;=120, "1 to 2 hours", TRUE, "More than 2 hours")</f>
        <v>More than 2 hours</v>
      </c>
      <c r="K552">
        <f>ROUND(calls[[#This Row],[Satisfaction Rating]],0)</f>
        <v>5</v>
      </c>
    </row>
    <row r="553" spans="1:11" ht="13.8" x14ac:dyDescent="0.25">
      <c r="A553" t="s">
        <v>582</v>
      </c>
      <c r="B553" t="s">
        <v>22</v>
      </c>
      <c r="C553">
        <v>132</v>
      </c>
      <c r="D553" s="4" t="s">
        <v>32</v>
      </c>
      <c r="E553" s="5">
        <v>45094</v>
      </c>
      <c r="F553">
        <v>50</v>
      </c>
      <c r="G553">
        <v>4.2</v>
      </c>
      <c r="H553">
        <f>IF(MONTH(calls[[#This Row],[Date of Call]])&lt;=6, YEAR(calls[[#This Row],[Date of Call]]), YEAR(calls[[#This Row],[Date of Call]])+1)</f>
        <v>2023</v>
      </c>
      <c r="I553" t="str">
        <f>TEXT(calls[[#This Row],[Date of Call]],"DDDD")</f>
        <v>Saturday</v>
      </c>
      <c r="J553" t="str">
        <f t="array" ref="J553">_xlfn.IFS(calls[[#This Row],[Duration]]&lt;=10,"Under 10 mins", calls[[#This Row],[Duration]]&lt;=30, "10 to 30 mins", calls[[#This Row],[Duration]]&lt;=60, "30 to 60 mins", calls[[#This Row],[Duration]]&lt;=120, "1 to 2 hours", TRUE, "More than 2 hours")</f>
        <v>More than 2 hours</v>
      </c>
      <c r="K553">
        <f>ROUND(calls[[#This Row],[Satisfaction Rating]],0)</f>
        <v>4</v>
      </c>
    </row>
    <row r="554" spans="1:11" ht="13.8" x14ac:dyDescent="0.25">
      <c r="A554" t="s">
        <v>583</v>
      </c>
      <c r="B554" t="s">
        <v>12</v>
      </c>
      <c r="C554">
        <v>106</v>
      </c>
      <c r="D554" s="4" t="s">
        <v>28</v>
      </c>
      <c r="E554" s="5">
        <v>45094</v>
      </c>
      <c r="F554">
        <v>112</v>
      </c>
      <c r="G554">
        <v>3.7</v>
      </c>
      <c r="H554">
        <f>IF(MONTH(calls[[#This Row],[Date of Call]])&lt;=6, YEAR(calls[[#This Row],[Date of Call]]), YEAR(calls[[#This Row],[Date of Call]])+1)</f>
        <v>2023</v>
      </c>
      <c r="I554" t="str">
        <f>TEXT(calls[[#This Row],[Date of Call]],"DDDD")</f>
        <v>Saturday</v>
      </c>
      <c r="J554" t="str">
        <f t="array" ref="J554">_xlfn.IFS(calls[[#This Row],[Duration]]&lt;=10,"Under 10 mins", calls[[#This Row],[Duration]]&lt;=30, "10 to 30 mins", calls[[#This Row],[Duration]]&lt;=60, "30 to 60 mins", calls[[#This Row],[Duration]]&lt;=120, "1 to 2 hours", TRUE, "More than 2 hours")</f>
        <v>1 to 2 hours</v>
      </c>
      <c r="K554">
        <f>ROUND(calls[[#This Row],[Satisfaction Rating]],0)</f>
        <v>4</v>
      </c>
    </row>
    <row r="555" spans="1:11" ht="13.8" x14ac:dyDescent="0.25">
      <c r="A555" t="s">
        <v>584</v>
      </c>
      <c r="B555" t="s">
        <v>84</v>
      </c>
      <c r="C555">
        <v>107</v>
      </c>
      <c r="D555" s="4" t="s">
        <v>32</v>
      </c>
      <c r="E555" s="5">
        <v>45095</v>
      </c>
      <c r="F555">
        <v>39</v>
      </c>
      <c r="G555">
        <v>4.8</v>
      </c>
      <c r="H555">
        <f>IF(MONTH(calls[[#This Row],[Date of Call]])&lt;=6, YEAR(calls[[#This Row],[Date of Call]]), YEAR(calls[[#This Row],[Date of Call]])+1)</f>
        <v>2023</v>
      </c>
      <c r="I555" t="str">
        <f>TEXT(calls[[#This Row],[Date of Call]],"DDDD")</f>
        <v>Sunday</v>
      </c>
      <c r="J555" t="str">
        <f t="array" ref="J555">_xlfn.IFS(calls[[#This Row],[Duration]]&lt;=10,"Under 10 mins", calls[[#This Row],[Duration]]&lt;=30, "10 to 30 mins", calls[[#This Row],[Duration]]&lt;=60, "30 to 60 mins", calls[[#This Row],[Duration]]&lt;=120, "1 to 2 hours", TRUE, "More than 2 hours")</f>
        <v>1 to 2 hours</v>
      </c>
      <c r="K555">
        <f>ROUND(calls[[#This Row],[Satisfaction Rating]],0)</f>
        <v>5</v>
      </c>
    </row>
    <row r="556" spans="1:11" ht="13.8" x14ac:dyDescent="0.25">
      <c r="A556" t="s">
        <v>585</v>
      </c>
      <c r="B556" t="s">
        <v>31</v>
      </c>
      <c r="C556">
        <v>85</v>
      </c>
      <c r="D556" s="4" t="s">
        <v>28</v>
      </c>
      <c r="E556" s="5">
        <v>45095</v>
      </c>
      <c r="F556">
        <v>38</v>
      </c>
      <c r="G556">
        <v>4.8</v>
      </c>
      <c r="H556">
        <f>IF(MONTH(calls[[#This Row],[Date of Call]])&lt;=6, YEAR(calls[[#This Row],[Date of Call]]), YEAR(calls[[#This Row],[Date of Call]])+1)</f>
        <v>2023</v>
      </c>
      <c r="I556" t="str">
        <f>TEXT(calls[[#This Row],[Date of Call]],"DDDD")</f>
        <v>Sunday</v>
      </c>
      <c r="J556" t="str">
        <f t="array" ref="J556">_xlfn.IFS(calls[[#This Row],[Duration]]&lt;=10,"Under 10 mins", calls[[#This Row],[Duration]]&lt;=30, "10 to 30 mins", calls[[#This Row],[Duration]]&lt;=60, "30 to 60 mins", calls[[#This Row],[Duration]]&lt;=120, "1 to 2 hours", TRUE, "More than 2 hours")</f>
        <v>1 to 2 hours</v>
      </c>
      <c r="K556">
        <f>ROUND(calls[[#This Row],[Satisfaction Rating]],0)</f>
        <v>5</v>
      </c>
    </row>
    <row r="557" spans="1:11" ht="13.8" x14ac:dyDescent="0.25">
      <c r="A557" t="s">
        <v>586</v>
      </c>
      <c r="B557" t="s">
        <v>26</v>
      </c>
      <c r="C557">
        <v>49</v>
      </c>
      <c r="D557" s="4" t="s">
        <v>32</v>
      </c>
      <c r="E557" s="5">
        <v>45096</v>
      </c>
      <c r="F557">
        <v>84</v>
      </c>
      <c r="G557">
        <v>2.9</v>
      </c>
      <c r="H557">
        <f>IF(MONTH(calls[[#This Row],[Date of Call]])&lt;=6, YEAR(calls[[#This Row],[Date of Call]]), YEAR(calls[[#This Row],[Date of Call]])+1)</f>
        <v>2023</v>
      </c>
      <c r="I557" t="str">
        <f>TEXT(calls[[#This Row],[Date of Call]],"DDDD")</f>
        <v>Monday</v>
      </c>
      <c r="J557" t="str">
        <f t="array" ref="J557">_xlfn.IFS(calls[[#This Row],[Duration]]&lt;=10,"Under 10 mins", calls[[#This Row],[Duration]]&lt;=30, "10 to 30 mins", calls[[#This Row],[Duration]]&lt;=60, "30 to 60 mins", calls[[#This Row],[Duration]]&lt;=120, "1 to 2 hours", TRUE, "More than 2 hours")</f>
        <v>30 to 60 mins</v>
      </c>
      <c r="K557">
        <f>ROUND(calls[[#This Row],[Satisfaction Rating]],0)</f>
        <v>3</v>
      </c>
    </row>
    <row r="558" spans="1:11" ht="13.8" x14ac:dyDescent="0.25">
      <c r="A558" t="s">
        <v>587</v>
      </c>
      <c r="B558" t="s">
        <v>37</v>
      </c>
      <c r="C558">
        <v>117</v>
      </c>
      <c r="D558" s="4" t="s">
        <v>23</v>
      </c>
      <c r="E558" s="5">
        <v>45097</v>
      </c>
      <c r="F558">
        <v>82</v>
      </c>
      <c r="G558">
        <v>3.5</v>
      </c>
      <c r="H558">
        <f>IF(MONTH(calls[[#This Row],[Date of Call]])&lt;=6, YEAR(calls[[#This Row],[Date of Call]]), YEAR(calls[[#This Row],[Date of Call]])+1)</f>
        <v>2023</v>
      </c>
      <c r="I558" t="str">
        <f>TEXT(calls[[#This Row],[Date of Call]],"DDDD")</f>
        <v>Tuesday</v>
      </c>
      <c r="J558" t="str">
        <f t="array" ref="J558">_xlfn.IFS(calls[[#This Row],[Duration]]&lt;=10,"Under 10 mins", calls[[#This Row],[Duration]]&lt;=30, "10 to 30 mins", calls[[#This Row],[Duration]]&lt;=60, "30 to 60 mins", calls[[#This Row],[Duration]]&lt;=120, "1 to 2 hours", TRUE, "More than 2 hours")</f>
        <v>1 to 2 hours</v>
      </c>
      <c r="K558">
        <f>ROUND(calls[[#This Row],[Satisfaction Rating]],0)</f>
        <v>4</v>
      </c>
    </row>
    <row r="559" spans="1:11" ht="13.8" x14ac:dyDescent="0.25">
      <c r="A559" t="s">
        <v>588</v>
      </c>
      <c r="B559" t="s">
        <v>84</v>
      </c>
      <c r="C559">
        <v>136</v>
      </c>
      <c r="D559" s="4" t="s">
        <v>28</v>
      </c>
      <c r="E559" s="5">
        <v>45097</v>
      </c>
      <c r="F559">
        <v>37</v>
      </c>
      <c r="G559">
        <v>0.9</v>
      </c>
      <c r="H559">
        <f>IF(MONTH(calls[[#This Row],[Date of Call]])&lt;=6, YEAR(calls[[#This Row],[Date of Call]]), YEAR(calls[[#This Row],[Date of Call]])+1)</f>
        <v>2023</v>
      </c>
      <c r="I559" t="str">
        <f>TEXT(calls[[#This Row],[Date of Call]],"DDDD")</f>
        <v>Tuesday</v>
      </c>
      <c r="J559" t="str">
        <f t="array" ref="J559">_xlfn.IFS(calls[[#This Row],[Duration]]&lt;=10,"Under 10 mins", calls[[#This Row],[Duration]]&lt;=30, "10 to 30 mins", calls[[#This Row],[Duration]]&lt;=60, "30 to 60 mins", calls[[#This Row],[Duration]]&lt;=120, "1 to 2 hours", TRUE, "More than 2 hours")</f>
        <v>More than 2 hours</v>
      </c>
      <c r="K559">
        <f>ROUND(calls[[#This Row],[Satisfaction Rating]],0)</f>
        <v>1</v>
      </c>
    </row>
    <row r="560" spans="1:11" ht="13.8" x14ac:dyDescent="0.25">
      <c r="A560" t="s">
        <v>589</v>
      </c>
      <c r="B560" t="s">
        <v>17</v>
      </c>
      <c r="C560">
        <v>130</v>
      </c>
      <c r="D560" s="4" t="s">
        <v>18</v>
      </c>
      <c r="E560" s="5">
        <v>45098</v>
      </c>
      <c r="F560">
        <v>87</v>
      </c>
      <c r="G560">
        <v>3.4</v>
      </c>
      <c r="H560">
        <f>IF(MONTH(calls[[#This Row],[Date of Call]])&lt;=6, YEAR(calls[[#This Row],[Date of Call]]), YEAR(calls[[#This Row],[Date of Call]])+1)</f>
        <v>2023</v>
      </c>
      <c r="I560" t="str">
        <f>TEXT(calls[[#This Row],[Date of Call]],"DDDD")</f>
        <v>Wednesday</v>
      </c>
      <c r="J560" t="str">
        <f t="array" ref="J560">_xlfn.IFS(calls[[#This Row],[Duration]]&lt;=10,"Under 10 mins", calls[[#This Row],[Duration]]&lt;=30, "10 to 30 mins", calls[[#This Row],[Duration]]&lt;=60, "30 to 60 mins", calls[[#This Row],[Duration]]&lt;=120, "1 to 2 hours", TRUE, "More than 2 hours")</f>
        <v>More than 2 hours</v>
      </c>
      <c r="K560">
        <f>ROUND(calls[[#This Row],[Satisfaction Rating]],0)</f>
        <v>3</v>
      </c>
    </row>
    <row r="561" spans="1:11" ht="13.8" x14ac:dyDescent="0.25">
      <c r="A561" t="s">
        <v>590</v>
      </c>
      <c r="B561" t="s">
        <v>17</v>
      </c>
      <c r="C561">
        <v>73</v>
      </c>
      <c r="D561" s="4" t="s">
        <v>18</v>
      </c>
      <c r="E561" s="5">
        <v>45098</v>
      </c>
      <c r="F561">
        <v>75</v>
      </c>
      <c r="G561">
        <v>2.7</v>
      </c>
      <c r="H561">
        <f>IF(MONTH(calls[[#This Row],[Date of Call]])&lt;=6, YEAR(calls[[#This Row],[Date of Call]]), YEAR(calls[[#This Row],[Date of Call]])+1)</f>
        <v>2023</v>
      </c>
      <c r="I561" t="str">
        <f>TEXT(calls[[#This Row],[Date of Call]],"DDDD")</f>
        <v>Wednesday</v>
      </c>
      <c r="J561" t="str">
        <f t="array" ref="J561">_xlfn.IFS(calls[[#This Row],[Duration]]&lt;=10,"Under 10 mins", calls[[#This Row],[Duration]]&lt;=30, "10 to 30 mins", calls[[#This Row],[Duration]]&lt;=60, "30 to 60 mins", calls[[#This Row],[Duration]]&lt;=120, "1 to 2 hours", TRUE, "More than 2 hours")</f>
        <v>1 to 2 hours</v>
      </c>
      <c r="K561">
        <f>ROUND(calls[[#This Row],[Satisfaction Rating]],0)</f>
        <v>3</v>
      </c>
    </row>
    <row r="562" spans="1:11" ht="13.8" x14ac:dyDescent="0.25">
      <c r="A562" t="s">
        <v>591</v>
      </c>
      <c r="B562" t="s">
        <v>26</v>
      </c>
      <c r="C562">
        <v>80</v>
      </c>
      <c r="D562" s="4" t="s">
        <v>32</v>
      </c>
      <c r="E562" s="5">
        <v>45098</v>
      </c>
      <c r="F562">
        <v>32</v>
      </c>
      <c r="G562">
        <v>4.7</v>
      </c>
      <c r="H562">
        <f>IF(MONTH(calls[[#This Row],[Date of Call]])&lt;=6, YEAR(calls[[#This Row],[Date of Call]]), YEAR(calls[[#This Row],[Date of Call]])+1)</f>
        <v>2023</v>
      </c>
      <c r="I562" t="str">
        <f>TEXT(calls[[#This Row],[Date of Call]],"DDDD")</f>
        <v>Wednesday</v>
      </c>
      <c r="J562" t="str">
        <f t="array" ref="J562">_xlfn.IFS(calls[[#This Row],[Duration]]&lt;=10,"Under 10 mins", calls[[#This Row],[Duration]]&lt;=30, "10 to 30 mins", calls[[#This Row],[Duration]]&lt;=60, "30 to 60 mins", calls[[#This Row],[Duration]]&lt;=120, "1 to 2 hours", TRUE, "More than 2 hours")</f>
        <v>1 to 2 hours</v>
      </c>
      <c r="K562">
        <f>ROUND(calls[[#This Row],[Satisfaction Rating]],0)</f>
        <v>5</v>
      </c>
    </row>
    <row r="563" spans="1:11" ht="13.8" x14ac:dyDescent="0.25">
      <c r="A563" t="s">
        <v>592</v>
      </c>
      <c r="B563" t="s">
        <v>64</v>
      </c>
      <c r="C563">
        <v>44</v>
      </c>
      <c r="D563" s="4" t="s">
        <v>23</v>
      </c>
      <c r="E563" s="5">
        <v>45098</v>
      </c>
      <c r="F563">
        <v>33</v>
      </c>
      <c r="G563">
        <v>3</v>
      </c>
      <c r="H563">
        <f>IF(MONTH(calls[[#This Row],[Date of Call]])&lt;=6, YEAR(calls[[#This Row],[Date of Call]]), YEAR(calls[[#This Row],[Date of Call]])+1)</f>
        <v>2023</v>
      </c>
      <c r="I563" t="str">
        <f>TEXT(calls[[#This Row],[Date of Call]],"DDDD")</f>
        <v>Wednesday</v>
      </c>
      <c r="J563" t="str">
        <f t="array" ref="J563">_xlfn.IFS(calls[[#This Row],[Duration]]&lt;=10,"Under 10 mins", calls[[#This Row],[Duration]]&lt;=30, "10 to 30 mins", calls[[#This Row],[Duration]]&lt;=60, "30 to 60 mins", calls[[#This Row],[Duration]]&lt;=120, "1 to 2 hours", TRUE, "More than 2 hours")</f>
        <v>30 to 60 mins</v>
      </c>
      <c r="K563">
        <f>ROUND(calls[[#This Row],[Satisfaction Rating]],0)</f>
        <v>3</v>
      </c>
    </row>
    <row r="564" spans="1:11" ht="13.8" x14ac:dyDescent="0.25">
      <c r="A564" t="s">
        <v>593</v>
      </c>
      <c r="B564" t="s">
        <v>64</v>
      </c>
      <c r="C564">
        <v>102</v>
      </c>
      <c r="D564" s="4" t="s">
        <v>13</v>
      </c>
      <c r="E564" s="5">
        <v>45098</v>
      </c>
      <c r="F564">
        <v>76</v>
      </c>
      <c r="G564">
        <v>4.2</v>
      </c>
      <c r="H564">
        <f>IF(MONTH(calls[[#This Row],[Date of Call]])&lt;=6, YEAR(calls[[#This Row],[Date of Call]]), YEAR(calls[[#This Row],[Date of Call]])+1)</f>
        <v>2023</v>
      </c>
      <c r="I564" t="str">
        <f>TEXT(calls[[#This Row],[Date of Call]],"DDDD")</f>
        <v>Wednesday</v>
      </c>
      <c r="J564" t="str">
        <f t="array" ref="J564">_xlfn.IFS(calls[[#This Row],[Duration]]&lt;=10,"Under 10 mins", calls[[#This Row],[Duration]]&lt;=30, "10 to 30 mins", calls[[#This Row],[Duration]]&lt;=60, "30 to 60 mins", calls[[#This Row],[Duration]]&lt;=120, "1 to 2 hours", TRUE, "More than 2 hours")</f>
        <v>1 to 2 hours</v>
      </c>
      <c r="K564">
        <f>ROUND(calls[[#This Row],[Satisfaction Rating]],0)</f>
        <v>4</v>
      </c>
    </row>
    <row r="565" spans="1:11" ht="13.8" x14ac:dyDescent="0.25">
      <c r="A565" t="s">
        <v>594</v>
      </c>
      <c r="B565" t="s">
        <v>51</v>
      </c>
      <c r="C565">
        <v>74</v>
      </c>
      <c r="D565" s="4" t="s">
        <v>13</v>
      </c>
      <c r="E565" s="5">
        <v>45098</v>
      </c>
      <c r="F565">
        <v>117</v>
      </c>
      <c r="G565">
        <v>4.8</v>
      </c>
      <c r="H565">
        <f>IF(MONTH(calls[[#This Row],[Date of Call]])&lt;=6, YEAR(calls[[#This Row],[Date of Call]]), YEAR(calls[[#This Row],[Date of Call]])+1)</f>
        <v>2023</v>
      </c>
      <c r="I565" t="str">
        <f>TEXT(calls[[#This Row],[Date of Call]],"DDDD")</f>
        <v>Wednesday</v>
      </c>
      <c r="J565" t="str">
        <f t="array" ref="J565">_xlfn.IFS(calls[[#This Row],[Duration]]&lt;=10,"Under 10 mins", calls[[#This Row],[Duration]]&lt;=30, "10 to 30 mins", calls[[#This Row],[Duration]]&lt;=60, "30 to 60 mins", calls[[#This Row],[Duration]]&lt;=120, "1 to 2 hours", TRUE, "More than 2 hours")</f>
        <v>1 to 2 hours</v>
      </c>
      <c r="K565">
        <f>ROUND(calls[[#This Row],[Satisfaction Rating]],0)</f>
        <v>5</v>
      </c>
    </row>
    <row r="566" spans="1:11" ht="13.8" x14ac:dyDescent="0.25">
      <c r="A566" t="s">
        <v>595</v>
      </c>
      <c r="B566" t="s">
        <v>26</v>
      </c>
      <c r="C566">
        <v>52</v>
      </c>
      <c r="D566" s="4" t="s">
        <v>23</v>
      </c>
      <c r="E566" s="5">
        <v>45100</v>
      </c>
      <c r="F566">
        <v>70</v>
      </c>
      <c r="G566">
        <v>4.0999999999999996</v>
      </c>
      <c r="H566">
        <f>IF(MONTH(calls[[#This Row],[Date of Call]])&lt;=6, YEAR(calls[[#This Row],[Date of Call]]), YEAR(calls[[#This Row],[Date of Call]])+1)</f>
        <v>2023</v>
      </c>
      <c r="I566" t="str">
        <f>TEXT(calls[[#This Row],[Date of Call]],"DDDD")</f>
        <v>Friday</v>
      </c>
      <c r="J566" t="str">
        <f t="array" ref="J566">_xlfn.IFS(calls[[#This Row],[Duration]]&lt;=10,"Under 10 mins", calls[[#This Row],[Duration]]&lt;=30, "10 to 30 mins", calls[[#This Row],[Duration]]&lt;=60, "30 to 60 mins", calls[[#This Row],[Duration]]&lt;=120, "1 to 2 hours", TRUE, "More than 2 hours")</f>
        <v>30 to 60 mins</v>
      </c>
      <c r="K566">
        <f>ROUND(calls[[#This Row],[Satisfaction Rating]],0)</f>
        <v>4</v>
      </c>
    </row>
    <row r="567" spans="1:11" ht="13.8" x14ac:dyDescent="0.25">
      <c r="A567" t="s">
        <v>596</v>
      </c>
      <c r="B567" t="s">
        <v>26</v>
      </c>
      <c r="C567">
        <v>74</v>
      </c>
      <c r="D567" s="4" t="s">
        <v>18</v>
      </c>
      <c r="E567" s="5">
        <v>45100</v>
      </c>
      <c r="F567">
        <v>37</v>
      </c>
      <c r="G567">
        <v>2.7</v>
      </c>
      <c r="H567">
        <f>IF(MONTH(calls[[#This Row],[Date of Call]])&lt;=6, YEAR(calls[[#This Row],[Date of Call]]), YEAR(calls[[#This Row],[Date of Call]])+1)</f>
        <v>2023</v>
      </c>
      <c r="I567" t="str">
        <f>TEXT(calls[[#This Row],[Date of Call]],"DDDD")</f>
        <v>Friday</v>
      </c>
      <c r="J567" t="str">
        <f t="array" ref="J567">_xlfn.IFS(calls[[#This Row],[Duration]]&lt;=10,"Under 10 mins", calls[[#This Row],[Duration]]&lt;=30, "10 to 30 mins", calls[[#This Row],[Duration]]&lt;=60, "30 to 60 mins", calls[[#This Row],[Duration]]&lt;=120, "1 to 2 hours", TRUE, "More than 2 hours")</f>
        <v>1 to 2 hours</v>
      </c>
      <c r="K567">
        <f>ROUND(calls[[#This Row],[Satisfaction Rating]],0)</f>
        <v>3</v>
      </c>
    </row>
    <row r="568" spans="1:11" ht="13.8" x14ac:dyDescent="0.25">
      <c r="A568" t="s">
        <v>597</v>
      </c>
      <c r="B568" t="s">
        <v>17</v>
      </c>
      <c r="C568">
        <v>96</v>
      </c>
      <c r="D568" s="4" t="s">
        <v>13</v>
      </c>
      <c r="E568" s="5">
        <v>45100</v>
      </c>
      <c r="F568">
        <v>46</v>
      </c>
      <c r="G568">
        <v>2.9</v>
      </c>
      <c r="H568">
        <f>IF(MONTH(calls[[#This Row],[Date of Call]])&lt;=6, YEAR(calls[[#This Row],[Date of Call]]), YEAR(calls[[#This Row],[Date of Call]])+1)</f>
        <v>2023</v>
      </c>
      <c r="I568" t="str">
        <f>TEXT(calls[[#This Row],[Date of Call]],"DDDD")</f>
        <v>Friday</v>
      </c>
      <c r="J568" t="str">
        <f t="array" ref="J568">_xlfn.IFS(calls[[#This Row],[Duration]]&lt;=10,"Under 10 mins", calls[[#This Row],[Duration]]&lt;=30, "10 to 30 mins", calls[[#This Row],[Duration]]&lt;=60, "30 to 60 mins", calls[[#This Row],[Duration]]&lt;=120, "1 to 2 hours", TRUE, "More than 2 hours")</f>
        <v>1 to 2 hours</v>
      </c>
      <c r="K568">
        <f>ROUND(calls[[#This Row],[Satisfaction Rating]],0)</f>
        <v>3</v>
      </c>
    </row>
    <row r="569" spans="1:11" ht="13.8" x14ac:dyDescent="0.25">
      <c r="A569" t="s">
        <v>598</v>
      </c>
      <c r="B569" t="s">
        <v>35</v>
      </c>
      <c r="C569">
        <v>104</v>
      </c>
      <c r="D569" s="4" t="s">
        <v>32</v>
      </c>
      <c r="E569" s="5">
        <v>45100</v>
      </c>
      <c r="F569">
        <v>136</v>
      </c>
      <c r="G569">
        <v>5</v>
      </c>
      <c r="H569">
        <f>IF(MONTH(calls[[#This Row],[Date of Call]])&lt;=6, YEAR(calls[[#This Row],[Date of Call]]), YEAR(calls[[#This Row],[Date of Call]])+1)</f>
        <v>2023</v>
      </c>
      <c r="I569" t="str">
        <f>TEXT(calls[[#This Row],[Date of Call]],"DDDD")</f>
        <v>Friday</v>
      </c>
      <c r="J569" t="str">
        <f t="array" ref="J569">_xlfn.IFS(calls[[#This Row],[Duration]]&lt;=10,"Under 10 mins", calls[[#This Row],[Duration]]&lt;=30, "10 to 30 mins", calls[[#This Row],[Duration]]&lt;=60, "30 to 60 mins", calls[[#This Row],[Duration]]&lt;=120, "1 to 2 hours", TRUE, "More than 2 hours")</f>
        <v>1 to 2 hours</v>
      </c>
      <c r="K569">
        <f>ROUND(calls[[#This Row],[Satisfaction Rating]],0)</f>
        <v>5</v>
      </c>
    </row>
    <row r="570" spans="1:11" ht="13.8" x14ac:dyDescent="0.25">
      <c r="A570" t="s">
        <v>599</v>
      </c>
      <c r="B570" t="s">
        <v>17</v>
      </c>
      <c r="C570">
        <v>123</v>
      </c>
      <c r="D570" s="4" t="s">
        <v>13</v>
      </c>
      <c r="E570" s="5">
        <v>45101</v>
      </c>
      <c r="F570">
        <v>44</v>
      </c>
      <c r="G570">
        <v>4.5999999999999996</v>
      </c>
      <c r="H570">
        <f>IF(MONTH(calls[[#This Row],[Date of Call]])&lt;=6, YEAR(calls[[#This Row],[Date of Call]]), YEAR(calls[[#This Row],[Date of Call]])+1)</f>
        <v>2023</v>
      </c>
      <c r="I570" t="str">
        <f>TEXT(calls[[#This Row],[Date of Call]],"DDDD")</f>
        <v>Saturday</v>
      </c>
      <c r="J570" t="str">
        <f t="array" ref="J570">_xlfn.IFS(calls[[#This Row],[Duration]]&lt;=10,"Under 10 mins", calls[[#This Row],[Duration]]&lt;=30, "10 to 30 mins", calls[[#This Row],[Duration]]&lt;=60, "30 to 60 mins", calls[[#This Row],[Duration]]&lt;=120, "1 to 2 hours", TRUE, "More than 2 hours")</f>
        <v>More than 2 hours</v>
      </c>
      <c r="K570">
        <f>ROUND(calls[[#This Row],[Satisfaction Rating]],0)</f>
        <v>5</v>
      </c>
    </row>
    <row r="571" spans="1:11" ht="13.8" x14ac:dyDescent="0.25">
      <c r="A571" t="s">
        <v>600</v>
      </c>
      <c r="B571" t="s">
        <v>43</v>
      </c>
      <c r="C571">
        <v>100</v>
      </c>
      <c r="D571" s="4" t="s">
        <v>28</v>
      </c>
      <c r="E571" s="5">
        <v>45101</v>
      </c>
      <c r="F571">
        <v>69</v>
      </c>
      <c r="G571">
        <v>3</v>
      </c>
      <c r="H571">
        <f>IF(MONTH(calls[[#This Row],[Date of Call]])&lt;=6, YEAR(calls[[#This Row],[Date of Call]]), YEAR(calls[[#This Row],[Date of Call]])+1)</f>
        <v>2023</v>
      </c>
      <c r="I571" t="str">
        <f>TEXT(calls[[#This Row],[Date of Call]],"DDDD")</f>
        <v>Saturday</v>
      </c>
      <c r="J571" t="str">
        <f t="array" ref="J571">_xlfn.IFS(calls[[#This Row],[Duration]]&lt;=10,"Under 10 mins", calls[[#This Row],[Duration]]&lt;=30, "10 to 30 mins", calls[[#This Row],[Duration]]&lt;=60, "30 to 60 mins", calls[[#This Row],[Duration]]&lt;=120, "1 to 2 hours", TRUE, "More than 2 hours")</f>
        <v>1 to 2 hours</v>
      </c>
      <c r="K571">
        <f>ROUND(calls[[#This Row],[Satisfaction Rating]],0)</f>
        <v>3</v>
      </c>
    </row>
    <row r="572" spans="1:11" ht="13.8" x14ac:dyDescent="0.25">
      <c r="A572" t="s">
        <v>601</v>
      </c>
      <c r="B572" t="s">
        <v>35</v>
      </c>
      <c r="C572">
        <v>35</v>
      </c>
      <c r="D572" s="4" t="s">
        <v>23</v>
      </c>
      <c r="E572" s="5">
        <v>45102</v>
      </c>
      <c r="F572">
        <v>86</v>
      </c>
      <c r="G572">
        <v>4.5999999999999996</v>
      </c>
      <c r="H572">
        <f>IF(MONTH(calls[[#This Row],[Date of Call]])&lt;=6, YEAR(calls[[#This Row],[Date of Call]]), YEAR(calls[[#This Row],[Date of Call]])+1)</f>
        <v>2023</v>
      </c>
      <c r="I572" t="str">
        <f>TEXT(calls[[#This Row],[Date of Call]],"DDDD")</f>
        <v>Sunday</v>
      </c>
      <c r="J572" t="str">
        <f t="array" ref="J572">_xlfn.IFS(calls[[#This Row],[Duration]]&lt;=10,"Under 10 mins", calls[[#This Row],[Duration]]&lt;=30, "10 to 30 mins", calls[[#This Row],[Duration]]&lt;=60, "30 to 60 mins", calls[[#This Row],[Duration]]&lt;=120, "1 to 2 hours", TRUE, "More than 2 hours")</f>
        <v>30 to 60 mins</v>
      </c>
      <c r="K572">
        <f>ROUND(calls[[#This Row],[Satisfaction Rating]],0)</f>
        <v>5</v>
      </c>
    </row>
    <row r="573" spans="1:11" ht="13.8" x14ac:dyDescent="0.25">
      <c r="A573" t="s">
        <v>602</v>
      </c>
      <c r="B573" t="s">
        <v>26</v>
      </c>
      <c r="C573">
        <v>123</v>
      </c>
      <c r="D573" s="4" t="s">
        <v>32</v>
      </c>
      <c r="E573" s="5">
        <v>45102</v>
      </c>
      <c r="F573">
        <v>68</v>
      </c>
      <c r="G573">
        <v>4.5</v>
      </c>
      <c r="H573">
        <f>IF(MONTH(calls[[#This Row],[Date of Call]])&lt;=6, YEAR(calls[[#This Row],[Date of Call]]), YEAR(calls[[#This Row],[Date of Call]])+1)</f>
        <v>2023</v>
      </c>
      <c r="I573" t="str">
        <f>TEXT(calls[[#This Row],[Date of Call]],"DDDD")</f>
        <v>Sunday</v>
      </c>
      <c r="J573" t="str">
        <f t="array" ref="J573">_xlfn.IFS(calls[[#This Row],[Duration]]&lt;=10,"Under 10 mins", calls[[#This Row],[Duration]]&lt;=30, "10 to 30 mins", calls[[#This Row],[Duration]]&lt;=60, "30 to 60 mins", calls[[#This Row],[Duration]]&lt;=120, "1 to 2 hours", TRUE, "More than 2 hours")</f>
        <v>More than 2 hours</v>
      </c>
      <c r="K573">
        <f>ROUND(calls[[#This Row],[Satisfaction Rating]],0)</f>
        <v>5</v>
      </c>
    </row>
    <row r="574" spans="1:11" ht="13.8" x14ac:dyDescent="0.25">
      <c r="A574" t="s">
        <v>603</v>
      </c>
      <c r="B574" t="s">
        <v>37</v>
      </c>
      <c r="C574">
        <v>133</v>
      </c>
      <c r="D574" s="4" t="s">
        <v>23</v>
      </c>
      <c r="E574" s="5">
        <v>45103</v>
      </c>
      <c r="F574">
        <v>21</v>
      </c>
      <c r="G574">
        <v>3.7</v>
      </c>
      <c r="H574">
        <f>IF(MONTH(calls[[#This Row],[Date of Call]])&lt;=6, YEAR(calls[[#This Row],[Date of Call]]), YEAR(calls[[#This Row],[Date of Call]])+1)</f>
        <v>2023</v>
      </c>
      <c r="I574" t="str">
        <f>TEXT(calls[[#This Row],[Date of Call]],"DDDD")</f>
        <v>Monday</v>
      </c>
      <c r="J574" t="str">
        <f t="array" ref="J574">_xlfn.IFS(calls[[#This Row],[Duration]]&lt;=10,"Under 10 mins", calls[[#This Row],[Duration]]&lt;=30, "10 to 30 mins", calls[[#This Row],[Duration]]&lt;=60, "30 to 60 mins", calls[[#This Row],[Duration]]&lt;=120, "1 to 2 hours", TRUE, "More than 2 hours")</f>
        <v>More than 2 hours</v>
      </c>
      <c r="K574">
        <f>ROUND(calls[[#This Row],[Satisfaction Rating]],0)</f>
        <v>4</v>
      </c>
    </row>
    <row r="575" spans="1:11" ht="13.8" x14ac:dyDescent="0.25">
      <c r="A575" t="s">
        <v>604</v>
      </c>
      <c r="B575" t="s">
        <v>17</v>
      </c>
      <c r="C575">
        <v>126</v>
      </c>
      <c r="D575" s="4" t="s">
        <v>18</v>
      </c>
      <c r="E575" s="5">
        <v>45103</v>
      </c>
      <c r="F575">
        <v>190</v>
      </c>
      <c r="G575">
        <v>2.4</v>
      </c>
      <c r="H575">
        <f>IF(MONTH(calls[[#This Row],[Date of Call]])&lt;=6, YEAR(calls[[#This Row],[Date of Call]]), YEAR(calls[[#This Row],[Date of Call]])+1)</f>
        <v>2023</v>
      </c>
      <c r="I575" t="str">
        <f>TEXT(calls[[#This Row],[Date of Call]],"DDDD")</f>
        <v>Monday</v>
      </c>
      <c r="J575" t="str">
        <f t="array" ref="J575">_xlfn.IFS(calls[[#This Row],[Duration]]&lt;=10,"Under 10 mins", calls[[#This Row],[Duration]]&lt;=30, "10 to 30 mins", calls[[#This Row],[Duration]]&lt;=60, "30 to 60 mins", calls[[#This Row],[Duration]]&lt;=120, "1 to 2 hours", TRUE, "More than 2 hours")</f>
        <v>More than 2 hours</v>
      </c>
      <c r="K575">
        <f>ROUND(calls[[#This Row],[Satisfaction Rating]],0)</f>
        <v>2</v>
      </c>
    </row>
    <row r="576" spans="1:11" ht="13.8" x14ac:dyDescent="0.25">
      <c r="A576" t="s">
        <v>605</v>
      </c>
      <c r="B576" t="s">
        <v>26</v>
      </c>
      <c r="C576">
        <v>39</v>
      </c>
      <c r="D576" s="4" t="s">
        <v>13</v>
      </c>
      <c r="E576" s="5">
        <v>45103</v>
      </c>
      <c r="F576">
        <v>176</v>
      </c>
      <c r="G576">
        <v>4.3</v>
      </c>
      <c r="H576">
        <f>IF(MONTH(calls[[#This Row],[Date of Call]])&lt;=6, YEAR(calls[[#This Row],[Date of Call]]), YEAR(calls[[#This Row],[Date of Call]])+1)</f>
        <v>2023</v>
      </c>
      <c r="I576" t="str">
        <f>TEXT(calls[[#This Row],[Date of Call]],"DDDD")</f>
        <v>Monday</v>
      </c>
      <c r="J576" t="str">
        <f t="array" ref="J576">_xlfn.IFS(calls[[#This Row],[Duration]]&lt;=10,"Under 10 mins", calls[[#This Row],[Duration]]&lt;=30, "10 to 30 mins", calls[[#This Row],[Duration]]&lt;=60, "30 to 60 mins", calls[[#This Row],[Duration]]&lt;=120, "1 to 2 hours", TRUE, "More than 2 hours")</f>
        <v>30 to 60 mins</v>
      </c>
      <c r="K576">
        <f>ROUND(calls[[#This Row],[Satisfaction Rating]],0)</f>
        <v>4</v>
      </c>
    </row>
    <row r="577" spans="1:11" ht="13.8" x14ac:dyDescent="0.25">
      <c r="A577" t="s">
        <v>606</v>
      </c>
      <c r="B577" t="s">
        <v>51</v>
      </c>
      <c r="C577">
        <v>31</v>
      </c>
      <c r="D577" s="4" t="s">
        <v>32</v>
      </c>
      <c r="E577" s="5">
        <v>45103</v>
      </c>
      <c r="F577">
        <v>172</v>
      </c>
      <c r="G577">
        <v>3.9</v>
      </c>
      <c r="H577">
        <f>IF(MONTH(calls[[#This Row],[Date of Call]])&lt;=6, YEAR(calls[[#This Row],[Date of Call]]), YEAR(calls[[#This Row],[Date of Call]])+1)</f>
        <v>2023</v>
      </c>
      <c r="I577" t="str">
        <f>TEXT(calls[[#This Row],[Date of Call]],"DDDD")</f>
        <v>Monday</v>
      </c>
      <c r="J577" t="str">
        <f t="array" ref="J577">_xlfn.IFS(calls[[#This Row],[Duration]]&lt;=10,"Under 10 mins", calls[[#This Row],[Duration]]&lt;=30, "10 to 30 mins", calls[[#This Row],[Duration]]&lt;=60, "30 to 60 mins", calls[[#This Row],[Duration]]&lt;=120, "1 to 2 hours", TRUE, "More than 2 hours")</f>
        <v>30 to 60 mins</v>
      </c>
      <c r="K577">
        <f>ROUND(calls[[#This Row],[Satisfaction Rating]],0)</f>
        <v>4</v>
      </c>
    </row>
    <row r="578" spans="1:11" ht="13.8" x14ac:dyDescent="0.25">
      <c r="A578" t="s">
        <v>607</v>
      </c>
      <c r="B578" t="s">
        <v>22</v>
      </c>
      <c r="C578">
        <v>25</v>
      </c>
      <c r="D578" s="4" t="s">
        <v>23</v>
      </c>
      <c r="E578" s="5">
        <v>45103</v>
      </c>
      <c r="F578">
        <v>84</v>
      </c>
      <c r="G578">
        <v>4.5</v>
      </c>
      <c r="H578">
        <f>IF(MONTH(calls[[#This Row],[Date of Call]])&lt;=6, YEAR(calls[[#This Row],[Date of Call]]), YEAR(calls[[#This Row],[Date of Call]])+1)</f>
        <v>2023</v>
      </c>
      <c r="I578" t="str">
        <f>TEXT(calls[[#This Row],[Date of Call]],"DDDD")</f>
        <v>Monday</v>
      </c>
      <c r="J578" t="str">
        <f t="array" ref="J578">_xlfn.IFS(calls[[#This Row],[Duration]]&lt;=10,"Under 10 mins", calls[[#This Row],[Duration]]&lt;=30, "10 to 30 mins", calls[[#This Row],[Duration]]&lt;=60, "30 to 60 mins", calls[[#This Row],[Duration]]&lt;=120, "1 to 2 hours", TRUE, "More than 2 hours")</f>
        <v>10 to 30 mins</v>
      </c>
      <c r="K578">
        <f>ROUND(calls[[#This Row],[Satisfaction Rating]],0)</f>
        <v>5</v>
      </c>
    </row>
    <row r="579" spans="1:11" ht="13.8" x14ac:dyDescent="0.25">
      <c r="A579" t="s">
        <v>608</v>
      </c>
      <c r="B579" t="s">
        <v>15</v>
      </c>
      <c r="C579">
        <v>132</v>
      </c>
      <c r="D579" s="4" t="s">
        <v>28</v>
      </c>
      <c r="E579" s="5">
        <v>45104</v>
      </c>
      <c r="F579">
        <v>42</v>
      </c>
      <c r="G579">
        <v>5</v>
      </c>
      <c r="H579">
        <f>IF(MONTH(calls[[#This Row],[Date of Call]])&lt;=6, YEAR(calls[[#This Row],[Date of Call]]), YEAR(calls[[#This Row],[Date of Call]])+1)</f>
        <v>2023</v>
      </c>
      <c r="I579" t="str">
        <f>TEXT(calls[[#This Row],[Date of Call]],"DDDD")</f>
        <v>Tuesday</v>
      </c>
      <c r="J579" t="str">
        <f t="array" ref="J579">_xlfn.IFS(calls[[#This Row],[Duration]]&lt;=10,"Under 10 mins", calls[[#This Row],[Duration]]&lt;=30, "10 to 30 mins", calls[[#This Row],[Duration]]&lt;=60, "30 to 60 mins", calls[[#This Row],[Duration]]&lt;=120, "1 to 2 hours", TRUE, "More than 2 hours")</f>
        <v>More than 2 hours</v>
      </c>
      <c r="K579">
        <f>ROUND(calls[[#This Row],[Satisfaction Rating]],0)</f>
        <v>5</v>
      </c>
    </row>
    <row r="580" spans="1:11" ht="13.8" x14ac:dyDescent="0.25">
      <c r="A580" t="s">
        <v>609</v>
      </c>
      <c r="B580" t="s">
        <v>35</v>
      </c>
      <c r="C580">
        <v>63</v>
      </c>
      <c r="D580" s="4" t="s">
        <v>18</v>
      </c>
      <c r="E580" s="5">
        <v>45104</v>
      </c>
      <c r="F580">
        <v>70</v>
      </c>
      <c r="G580">
        <v>1.6</v>
      </c>
      <c r="H580">
        <f>IF(MONTH(calls[[#This Row],[Date of Call]])&lt;=6, YEAR(calls[[#This Row],[Date of Call]]), YEAR(calls[[#This Row],[Date of Call]])+1)</f>
        <v>2023</v>
      </c>
      <c r="I580" t="str">
        <f>TEXT(calls[[#This Row],[Date of Call]],"DDDD")</f>
        <v>Tuesday</v>
      </c>
      <c r="J580" t="str">
        <f t="array" ref="J580">_xlfn.IFS(calls[[#This Row],[Duration]]&lt;=10,"Under 10 mins", calls[[#This Row],[Duration]]&lt;=30, "10 to 30 mins", calls[[#This Row],[Duration]]&lt;=60, "30 to 60 mins", calls[[#This Row],[Duration]]&lt;=120, "1 to 2 hours", TRUE, "More than 2 hours")</f>
        <v>1 to 2 hours</v>
      </c>
      <c r="K580">
        <f>ROUND(calls[[#This Row],[Satisfaction Rating]],0)</f>
        <v>2</v>
      </c>
    </row>
    <row r="581" spans="1:11" ht="13.8" x14ac:dyDescent="0.25">
      <c r="A581" t="s">
        <v>610</v>
      </c>
      <c r="B581" t="s">
        <v>43</v>
      </c>
      <c r="C581">
        <v>135</v>
      </c>
      <c r="D581" s="4" t="s">
        <v>28</v>
      </c>
      <c r="E581" s="5">
        <v>45104</v>
      </c>
      <c r="F581">
        <v>60</v>
      </c>
      <c r="G581">
        <v>4.3</v>
      </c>
      <c r="H581">
        <f>IF(MONTH(calls[[#This Row],[Date of Call]])&lt;=6, YEAR(calls[[#This Row],[Date of Call]]), YEAR(calls[[#This Row],[Date of Call]])+1)</f>
        <v>2023</v>
      </c>
      <c r="I581" t="str">
        <f>TEXT(calls[[#This Row],[Date of Call]],"DDDD")</f>
        <v>Tuesday</v>
      </c>
      <c r="J581" t="str">
        <f t="array" ref="J581">_xlfn.IFS(calls[[#This Row],[Duration]]&lt;=10,"Under 10 mins", calls[[#This Row],[Duration]]&lt;=30, "10 to 30 mins", calls[[#This Row],[Duration]]&lt;=60, "30 to 60 mins", calls[[#This Row],[Duration]]&lt;=120, "1 to 2 hours", TRUE, "More than 2 hours")</f>
        <v>More than 2 hours</v>
      </c>
      <c r="K581">
        <f>ROUND(calls[[#This Row],[Satisfaction Rating]],0)</f>
        <v>4</v>
      </c>
    </row>
    <row r="582" spans="1:11" ht="13.8" x14ac:dyDescent="0.25">
      <c r="A582" t="s">
        <v>611</v>
      </c>
      <c r="B582" t="s">
        <v>31</v>
      </c>
      <c r="C582">
        <v>101</v>
      </c>
      <c r="D582" s="4" t="s">
        <v>18</v>
      </c>
      <c r="E582" s="5">
        <v>45104</v>
      </c>
      <c r="F582">
        <v>84</v>
      </c>
      <c r="G582">
        <v>3.5</v>
      </c>
      <c r="H582">
        <f>IF(MONTH(calls[[#This Row],[Date of Call]])&lt;=6, YEAR(calls[[#This Row],[Date of Call]]), YEAR(calls[[#This Row],[Date of Call]])+1)</f>
        <v>2023</v>
      </c>
      <c r="I582" t="str">
        <f>TEXT(calls[[#This Row],[Date of Call]],"DDDD")</f>
        <v>Tuesday</v>
      </c>
      <c r="J582" t="str">
        <f t="array" ref="J582">_xlfn.IFS(calls[[#This Row],[Duration]]&lt;=10,"Under 10 mins", calls[[#This Row],[Duration]]&lt;=30, "10 to 30 mins", calls[[#This Row],[Duration]]&lt;=60, "30 to 60 mins", calls[[#This Row],[Duration]]&lt;=120, "1 to 2 hours", TRUE, "More than 2 hours")</f>
        <v>1 to 2 hours</v>
      </c>
      <c r="K582">
        <f>ROUND(calls[[#This Row],[Satisfaction Rating]],0)</f>
        <v>4</v>
      </c>
    </row>
    <row r="583" spans="1:11" ht="13.8" x14ac:dyDescent="0.25">
      <c r="A583" t="s">
        <v>612</v>
      </c>
      <c r="B583" t="s">
        <v>37</v>
      </c>
      <c r="C583">
        <v>80</v>
      </c>
      <c r="D583" s="4" t="s">
        <v>13</v>
      </c>
      <c r="E583" s="5">
        <v>45105</v>
      </c>
      <c r="F583">
        <v>68</v>
      </c>
      <c r="G583">
        <v>3.1</v>
      </c>
      <c r="H583">
        <f>IF(MONTH(calls[[#This Row],[Date of Call]])&lt;=6, YEAR(calls[[#This Row],[Date of Call]]), YEAR(calls[[#This Row],[Date of Call]])+1)</f>
        <v>2023</v>
      </c>
      <c r="I583" t="str">
        <f>TEXT(calls[[#This Row],[Date of Call]],"DDDD")</f>
        <v>Wednesday</v>
      </c>
      <c r="J583" t="str">
        <f t="array" ref="J583">_xlfn.IFS(calls[[#This Row],[Duration]]&lt;=10,"Under 10 mins", calls[[#This Row],[Duration]]&lt;=30, "10 to 30 mins", calls[[#This Row],[Duration]]&lt;=60, "30 to 60 mins", calls[[#This Row],[Duration]]&lt;=120, "1 to 2 hours", TRUE, "More than 2 hours")</f>
        <v>1 to 2 hours</v>
      </c>
      <c r="K583">
        <f>ROUND(calls[[#This Row],[Satisfaction Rating]],0)</f>
        <v>3</v>
      </c>
    </row>
    <row r="584" spans="1:11" ht="13.8" x14ac:dyDescent="0.25">
      <c r="A584" t="s">
        <v>613</v>
      </c>
      <c r="B584" t="s">
        <v>64</v>
      </c>
      <c r="C584">
        <v>28</v>
      </c>
      <c r="D584" s="4" t="s">
        <v>13</v>
      </c>
      <c r="E584" s="5">
        <v>45105</v>
      </c>
      <c r="F584">
        <v>44</v>
      </c>
      <c r="G584">
        <v>2.9</v>
      </c>
      <c r="H584">
        <f>IF(MONTH(calls[[#This Row],[Date of Call]])&lt;=6, YEAR(calls[[#This Row],[Date of Call]]), YEAR(calls[[#This Row],[Date of Call]])+1)</f>
        <v>2023</v>
      </c>
      <c r="I584" t="str">
        <f>TEXT(calls[[#This Row],[Date of Call]],"DDDD")</f>
        <v>Wednesday</v>
      </c>
      <c r="J584" t="str">
        <f t="array" ref="J584">_xlfn.IFS(calls[[#This Row],[Duration]]&lt;=10,"Under 10 mins", calls[[#This Row],[Duration]]&lt;=30, "10 to 30 mins", calls[[#This Row],[Duration]]&lt;=60, "30 to 60 mins", calls[[#This Row],[Duration]]&lt;=120, "1 to 2 hours", TRUE, "More than 2 hours")</f>
        <v>10 to 30 mins</v>
      </c>
      <c r="K584">
        <f>ROUND(calls[[#This Row],[Satisfaction Rating]],0)</f>
        <v>3</v>
      </c>
    </row>
    <row r="585" spans="1:11" ht="13.8" x14ac:dyDescent="0.25">
      <c r="A585" t="s">
        <v>614</v>
      </c>
      <c r="B585" t="s">
        <v>31</v>
      </c>
      <c r="C585">
        <v>102</v>
      </c>
      <c r="D585" s="4" t="s">
        <v>28</v>
      </c>
      <c r="E585" s="5">
        <v>45106</v>
      </c>
      <c r="F585">
        <v>99</v>
      </c>
      <c r="G585">
        <v>3.2</v>
      </c>
      <c r="H585">
        <f>IF(MONTH(calls[[#This Row],[Date of Call]])&lt;=6, YEAR(calls[[#This Row],[Date of Call]]), YEAR(calls[[#This Row],[Date of Call]])+1)</f>
        <v>2023</v>
      </c>
      <c r="I585" t="str">
        <f>TEXT(calls[[#This Row],[Date of Call]],"DDDD")</f>
        <v>Thursday</v>
      </c>
      <c r="J585" t="str">
        <f t="array" ref="J585">_xlfn.IFS(calls[[#This Row],[Duration]]&lt;=10,"Under 10 mins", calls[[#This Row],[Duration]]&lt;=30, "10 to 30 mins", calls[[#This Row],[Duration]]&lt;=60, "30 to 60 mins", calls[[#This Row],[Duration]]&lt;=120, "1 to 2 hours", TRUE, "More than 2 hours")</f>
        <v>1 to 2 hours</v>
      </c>
      <c r="K585">
        <f>ROUND(calls[[#This Row],[Satisfaction Rating]],0)</f>
        <v>3</v>
      </c>
    </row>
    <row r="586" spans="1:11" ht="13.8" x14ac:dyDescent="0.25">
      <c r="A586" t="s">
        <v>615</v>
      </c>
      <c r="B586" t="s">
        <v>35</v>
      </c>
      <c r="C586">
        <v>60</v>
      </c>
      <c r="D586" s="4" t="s">
        <v>28</v>
      </c>
      <c r="E586" s="5">
        <v>45107</v>
      </c>
      <c r="F586">
        <v>66</v>
      </c>
      <c r="G586">
        <v>3.2</v>
      </c>
      <c r="H586">
        <f>IF(MONTH(calls[[#This Row],[Date of Call]])&lt;=6, YEAR(calls[[#This Row],[Date of Call]]), YEAR(calls[[#This Row],[Date of Call]])+1)</f>
        <v>2023</v>
      </c>
      <c r="I586" t="str">
        <f>TEXT(calls[[#This Row],[Date of Call]],"DDDD")</f>
        <v>Friday</v>
      </c>
      <c r="J586" t="str">
        <f t="array" ref="J586">_xlfn.IFS(calls[[#This Row],[Duration]]&lt;=10,"Under 10 mins", calls[[#This Row],[Duration]]&lt;=30, "10 to 30 mins", calls[[#This Row],[Duration]]&lt;=60, "30 to 60 mins", calls[[#This Row],[Duration]]&lt;=120, "1 to 2 hours", TRUE, "More than 2 hours")</f>
        <v>30 to 60 mins</v>
      </c>
      <c r="K586">
        <f>ROUND(calls[[#This Row],[Satisfaction Rating]],0)</f>
        <v>3</v>
      </c>
    </row>
    <row r="587" spans="1:11" ht="13.8" x14ac:dyDescent="0.25">
      <c r="A587" t="s">
        <v>616</v>
      </c>
      <c r="B587" t="s">
        <v>20</v>
      </c>
      <c r="C587">
        <v>103</v>
      </c>
      <c r="D587" s="4" t="s">
        <v>28</v>
      </c>
      <c r="E587" s="5">
        <v>45107</v>
      </c>
      <c r="F587">
        <v>102</v>
      </c>
      <c r="G587">
        <v>4.5</v>
      </c>
      <c r="H587">
        <f>IF(MONTH(calls[[#This Row],[Date of Call]])&lt;=6, YEAR(calls[[#This Row],[Date of Call]]), YEAR(calls[[#This Row],[Date of Call]])+1)</f>
        <v>2023</v>
      </c>
      <c r="I587" t="str">
        <f>TEXT(calls[[#This Row],[Date of Call]],"DDDD")</f>
        <v>Friday</v>
      </c>
      <c r="J587" t="str">
        <f t="array" ref="J587">_xlfn.IFS(calls[[#This Row],[Duration]]&lt;=10,"Under 10 mins", calls[[#This Row],[Duration]]&lt;=30, "10 to 30 mins", calls[[#This Row],[Duration]]&lt;=60, "30 to 60 mins", calls[[#This Row],[Duration]]&lt;=120, "1 to 2 hours", TRUE, "More than 2 hours")</f>
        <v>1 to 2 hours</v>
      </c>
      <c r="K587">
        <f>ROUND(calls[[#This Row],[Satisfaction Rating]],0)</f>
        <v>5</v>
      </c>
    </row>
    <row r="588" spans="1:11" ht="13.8" x14ac:dyDescent="0.25">
      <c r="A588" t="s">
        <v>617</v>
      </c>
      <c r="B588" t="s">
        <v>37</v>
      </c>
      <c r="C588">
        <v>90</v>
      </c>
      <c r="D588" s="4" t="s">
        <v>13</v>
      </c>
      <c r="E588" s="5">
        <v>45108</v>
      </c>
      <c r="F588">
        <v>129</v>
      </c>
      <c r="G588">
        <v>3.9</v>
      </c>
      <c r="H588">
        <f>IF(MONTH(calls[[#This Row],[Date of Call]])&lt;=6, YEAR(calls[[#This Row],[Date of Call]]), YEAR(calls[[#This Row],[Date of Call]])+1)</f>
        <v>2024</v>
      </c>
      <c r="I588" t="str">
        <f>TEXT(calls[[#This Row],[Date of Call]],"DDDD")</f>
        <v>Saturday</v>
      </c>
      <c r="J588" t="str">
        <f t="array" ref="J588">_xlfn.IFS(calls[[#This Row],[Duration]]&lt;=10,"Under 10 mins", calls[[#This Row],[Duration]]&lt;=30, "10 to 30 mins", calls[[#This Row],[Duration]]&lt;=60, "30 to 60 mins", calls[[#This Row],[Duration]]&lt;=120, "1 to 2 hours", TRUE, "More than 2 hours")</f>
        <v>1 to 2 hours</v>
      </c>
      <c r="K588">
        <f>ROUND(calls[[#This Row],[Satisfaction Rating]],0)</f>
        <v>4</v>
      </c>
    </row>
    <row r="589" spans="1:11" ht="13.8" x14ac:dyDescent="0.25">
      <c r="A589" t="s">
        <v>618</v>
      </c>
      <c r="B589" t="s">
        <v>54</v>
      </c>
      <c r="C589">
        <v>88</v>
      </c>
      <c r="D589" s="4" t="s">
        <v>28</v>
      </c>
      <c r="E589" s="5">
        <v>45108</v>
      </c>
      <c r="F589">
        <v>80</v>
      </c>
      <c r="G589">
        <v>4.2</v>
      </c>
      <c r="H589">
        <f>IF(MONTH(calls[[#This Row],[Date of Call]])&lt;=6, YEAR(calls[[#This Row],[Date of Call]]), YEAR(calls[[#This Row],[Date of Call]])+1)</f>
        <v>2024</v>
      </c>
      <c r="I589" t="str">
        <f>TEXT(calls[[#This Row],[Date of Call]],"DDDD")</f>
        <v>Saturday</v>
      </c>
      <c r="J589" t="str">
        <f t="array" ref="J589">_xlfn.IFS(calls[[#This Row],[Duration]]&lt;=10,"Under 10 mins", calls[[#This Row],[Duration]]&lt;=30, "10 to 30 mins", calls[[#This Row],[Duration]]&lt;=60, "30 to 60 mins", calls[[#This Row],[Duration]]&lt;=120, "1 to 2 hours", TRUE, "More than 2 hours")</f>
        <v>1 to 2 hours</v>
      </c>
      <c r="K589">
        <f>ROUND(calls[[#This Row],[Satisfaction Rating]],0)</f>
        <v>4</v>
      </c>
    </row>
    <row r="590" spans="1:11" ht="13.8" x14ac:dyDescent="0.25">
      <c r="A590" t="s">
        <v>619</v>
      </c>
      <c r="B590" t="s">
        <v>20</v>
      </c>
      <c r="C590">
        <v>37</v>
      </c>
      <c r="D590" s="4" t="s">
        <v>28</v>
      </c>
      <c r="E590" s="5">
        <v>45108</v>
      </c>
      <c r="F590">
        <v>54</v>
      </c>
      <c r="G590">
        <v>1.8</v>
      </c>
      <c r="H590">
        <f>IF(MONTH(calls[[#This Row],[Date of Call]])&lt;=6, YEAR(calls[[#This Row],[Date of Call]]), YEAR(calls[[#This Row],[Date of Call]])+1)</f>
        <v>2024</v>
      </c>
      <c r="I590" t="str">
        <f>TEXT(calls[[#This Row],[Date of Call]],"DDDD")</f>
        <v>Saturday</v>
      </c>
      <c r="J590" t="str">
        <f t="array" ref="J590">_xlfn.IFS(calls[[#This Row],[Duration]]&lt;=10,"Under 10 mins", calls[[#This Row],[Duration]]&lt;=30, "10 to 30 mins", calls[[#This Row],[Duration]]&lt;=60, "30 to 60 mins", calls[[#This Row],[Duration]]&lt;=120, "1 to 2 hours", TRUE, "More than 2 hours")</f>
        <v>30 to 60 mins</v>
      </c>
      <c r="K590">
        <f>ROUND(calls[[#This Row],[Satisfaction Rating]],0)</f>
        <v>2</v>
      </c>
    </row>
    <row r="591" spans="1:11" ht="13.8" x14ac:dyDescent="0.25">
      <c r="A591" t="s">
        <v>620</v>
      </c>
      <c r="B591" t="s">
        <v>64</v>
      </c>
      <c r="C591">
        <v>142</v>
      </c>
      <c r="D591" s="4" t="s">
        <v>13</v>
      </c>
      <c r="E591" s="5">
        <v>45108</v>
      </c>
      <c r="F591">
        <v>116</v>
      </c>
      <c r="G591">
        <v>4.2</v>
      </c>
      <c r="H591">
        <f>IF(MONTH(calls[[#This Row],[Date of Call]])&lt;=6, YEAR(calls[[#This Row],[Date of Call]]), YEAR(calls[[#This Row],[Date of Call]])+1)</f>
        <v>2024</v>
      </c>
      <c r="I591" t="str">
        <f>TEXT(calls[[#This Row],[Date of Call]],"DDDD")</f>
        <v>Saturday</v>
      </c>
      <c r="J591" t="str">
        <f t="array" ref="J591">_xlfn.IFS(calls[[#This Row],[Duration]]&lt;=10,"Under 10 mins", calls[[#This Row],[Duration]]&lt;=30, "10 to 30 mins", calls[[#This Row],[Duration]]&lt;=60, "30 to 60 mins", calls[[#This Row],[Duration]]&lt;=120, "1 to 2 hours", TRUE, "More than 2 hours")</f>
        <v>More than 2 hours</v>
      </c>
      <c r="K591">
        <f>ROUND(calls[[#This Row],[Satisfaction Rating]],0)</f>
        <v>4</v>
      </c>
    </row>
    <row r="592" spans="1:11" ht="13.8" x14ac:dyDescent="0.25">
      <c r="A592" t="s">
        <v>621</v>
      </c>
      <c r="B592" t="s">
        <v>64</v>
      </c>
      <c r="C592">
        <v>153</v>
      </c>
      <c r="D592" s="4" t="s">
        <v>23</v>
      </c>
      <c r="E592" s="5">
        <v>45108</v>
      </c>
      <c r="F592">
        <v>102</v>
      </c>
      <c r="G592">
        <v>3.1</v>
      </c>
      <c r="H592">
        <f>IF(MONTH(calls[[#This Row],[Date of Call]])&lt;=6, YEAR(calls[[#This Row],[Date of Call]]), YEAR(calls[[#This Row],[Date of Call]])+1)</f>
        <v>2024</v>
      </c>
      <c r="I592" t="str">
        <f>TEXT(calls[[#This Row],[Date of Call]],"DDDD")</f>
        <v>Saturday</v>
      </c>
      <c r="J592" t="str">
        <f t="array" ref="J592">_xlfn.IFS(calls[[#This Row],[Duration]]&lt;=10,"Under 10 mins", calls[[#This Row],[Duration]]&lt;=30, "10 to 30 mins", calls[[#This Row],[Duration]]&lt;=60, "30 to 60 mins", calls[[#This Row],[Duration]]&lt;=120, "1 to 2 hours", TRUE, "More than 2 hours")</f>
        <v>More than 2 hours</v>
      </c>
      <c r="K592">
        <f>ROUND(calls[[#This Row],[Satisfaction Rating]],0)</f>
        <v>3</v>
      </c>
    </row>
    <row r="593" spans="1:11" ht="13.8" x14ac:dyDescent="0.25">
      <c r="A593" t="s">
        <v>622</v>
      </c>
      <c r="B593" t="s">
        <v>46</v>
      </c>
      <c r="C593">
        <v>128</v>
      </c>
      <c r="D593" s="4" t="s">
        <v>18</v>
      </c>
      <c r="E593" s="5">
        <v>45108</v>
      </c>
      <c r="F593">
        <v>140</v>
      </c>
      <c r="G593">
        <v>4.3</v>
      </c>
      <c r="H593">
        <f>IF(MONTH(calls[[#This Row],[Date of Call]])&lt;=6, YEAR(calls[[#This Row],[Date of Call]]), YEAR(calls[[#This Row],[Date of Call]])+1)</f>
        <v>2024</v>
      </c>
      <c r="I593" t="str">
        <f>TEXT(calls[[#This Row],[Date of Call]],"DDDD")</f>
        <v>Saturday</v>
      </c>
      <c r="J593" t="str">
        <f t="array" ref="J593">_xlfn.IFS(calls[[#This Row],[Duration]]&lt;=10,"Under 10 mins", calls[[#This Row],[Duration]]&lt;=30, "10 to 30 mins", calls[[#This Row],[Duration]]&lt;=60, "30 to 60 mins", calls[[#This Row],[Duration]]&lt;=120, "1 to 2 hours", TRUE, "More than 2 hours")</f>
        <v>More than 2 hours</v>
      </c>
      <c r="K593">
        <f>ROUND(calls[[#This Row],[Satisfaction Rating]],0)</f>
        <v>4</v>
      </c>
    </row>
    <row r="594" spans="1:11" ht="13.8" x14ac:dyDescent="0.25">
      <c r="A594" t="s">
        <v>623</v>
      </c>
      <c r="B594" t="s">
        <v>35</v>
      </c>
      <c r="C594">
        <v>110</v>
      </c>
      <c r="D594" s="4" t="s">
        <v>18</v>
      </c>
      <c r="E594" s="5">
        <v>45109</v>
      </c>
      <c r="F594">
        <v>104</v>
      </c>
      <c r="G594">
        <v>4.4000000000000004</v>
      </c>
      <c r="H594">
        <f>IF(MONTH(calls[[#This Row],[Date of Call]])&lt;=6, YEAR(calls[[#This Row],[Date of Call]]), YEAR(calls[[#This Row],[Date of Call]])+1)</f>
        <v>2024</v>
      </c>
      <c r="I594" t="str">
        <f>TEXT(calls[[#This Row],[Date of Call]],"DDDD")</f>
        <v>Sunday</v>
      </c>
      <c r="J594" t="str">
        <f t="array" ref="J594">_xlfn.IFS(calls[[#This Row],[Duration]]&lt;=10,"Under 10 mins", calls[[#This Row],[Duration]]&lt;=30, "10 to 30 mins", calls[[#This Row],[Duration]]&lt;=60, "30 to 60 mins", calls[[#This Row],[Duration]]&lt;=120, "1 to 2 hours", TRUE, "More than 2 hours")</f>
        <v>1 to 2 hours</v>
      </c>
      <c r="K594">
        <f>ROUND(calls[[#This Row],[Satisfaction Rating]],0)</f>
        <v>4</v>
      </c>
    </row>
    <row r="595" spans="1:11" ht="13.8" x14ac:dyDescent="0.25">
      <c r="A595" t="s">
        <v>624</v>
      </c>
      <c r="B595" t="s">
        <v>46</v>
      </c>
      <c r="C595">
        <v>139</v>
      </c>
      <c r="D595" s="4" t="s">
        <v>28</v>
      </c>
      <c r="E595" s="5">
        <v>45109</v>
      </c>
      <c r="F595">
        <v>81</v>
      </c>
      <c r="G595">
        <v>4.4000000000000004</v>
      </c>
      <c r="H595">
        <f>IF(MONTH(calls[[#This Row],[Date of Call]])&lt;=6, YEAR(calls[[#This Row],[Date of Call]]), YEAR(calls[[#This Row],[Date of Call]])+1)</f>
        <v>2024</v>
      </c>
      <c r="I595" t="str">
        <f>TEXT(calls[[#This Row],[Date of Call]],"DDDD")</f>
        <v>Sunday</v>
      </c>
      <c r="J595" t="str">
        <f t="array" ref="J595">_xlfn.IFS(calls[[#This Row],[Duration]]&lt;=10,"Under 10 mins", calls[[#This Row],[Duration]]&lt;=30, "10 to 30 mins", calls[[#This Row],[Duration]]&lt;=60, "30 to 60 mins", calls[[#This Row],[Duration]]&lt;=120, "1 to 2 hours", TRUE, "More than 2 hours")</f>
        <v>More than 2 hours</v>
      </c>
      <c r="K595">
        <f>ROUND(calls[[#This Row],[Satisfaction Rating]],0)</f>
        <v>4</v>
      </c>
    </row>
    <row r="596" spans="1:11" ht="13.8" x14ac:dyDescent="0.25">
      <c r="A596" t="s">
        <v>625</v>
      </c>
      <c r="B596" t="s">
        <v>31</v>
      </c>
      <c r="C596">
        <v>109</v>
      </c>
      <c r="D596" s="4" t="s">
        <v>32</v>
      </c>
      <c r="E596" s="5">
        <v>45111</v>
      </c>
      <c r="F596">
        <v>140</v>
      </c>
      <c r="G596">
        <v>2.4</v>
      </c>
      <c r="H596">
        <f>IF(MONTH(calls[[#This Row],[Date of Call]])&lt;=6, YEAR(calls[[#This Row],[Date of Call]]), YEAR(calls[[#This Row],[Date of Call]])+1)</f>
        <v>2024</v>
      </c>
      <c r="I596" t="str">
        <f>TEXT(calls[[#This Row],[Date of Call]],"DDDD")</f>
        <v>Tuesday</v>
      </c>
      <c r="J596" t="str">
        <f t="array" ref="J596">_xlfn.IFS(calls[[#This Row],[Duration]]&lt;=10,"Under 10 mins", calls[[#This Row],[Duration]]&lt;=30, "10 to 30 mins", calls[[#This Row],[Duration]]&lt;=60, "30 to 60 mins", calls[[#This Row],[Duration]]&lt;=120, "1 to 2 hours", TRUE, "More than 2 hours")</f>
        <v>1 to 2 hours</v>
      </c>
      <c r="K596">
        <f>ROUND(calls[[#This Row],[Satisfaction Rating]],0)</f>
        <v>2</v>
      </c>
    </row>
    <row r="597" spans="1:11" ht="13.8" x14ac:dyDescent="0.25">
      <c r="A597" t="s">
        <v>626</v>
      </c>
      <c r="B597" t="s">
        <v>15</v>
      </c>
      <c r="C597">
        <v>57</v>
      </c>
      <c r="D597" s="4" t="s">
        <v>13</v>
      </c>
      <c r="E597" s="5">
        <v>45112</v>
      </c>
      <c r="F597">
        <v>120</v>
      </c>
      <c r="G597">
        <v>3.5</v>
      </c>
      <c r="H597">
        <f>IF(MONTH(calls[[#This Row],[Date of Call]])&lt;=6, YEAR(calls[[#This Row],[Date of Call]]), YEAR(calls[[#This Row],[Date of Call]])+1)</f>
        <v>2024</v>
      </c>
      <c r="I597" t="str">
        <f>TEXT(calls[[#This Row],[Date of Call]],"DDDD")</f>
        <v>Wednesday</v>
      </c>
      <c r="J597" t="str">
        <f t="array" ref="J597">_xlfn.IFS(calls[[#This Row],[Duration]]&lt;=10,"Under 10 mins", calls[[#This Row],[Duration]]&lt;=30, "10 to 30 mins", calls[[#This Row],[Duration]]&lt;=60, "30 to 60 mins", calls[[#This Row],[Duration]]&lt;=120, "1 to 2 hours", TRUE, "More than 2 hours")</f>
        <v>30 to 60 mins</v>
      </c>
      <c r="K597">
        <f>ROUND(calls[[#This Row],[Satisfaction Rating]],0)</f>
        <v>4</v>
      </c>
    </row>
    <row r="598" spans="1:11" ht="13.8" x14ac:dyDescent="0.25">
      <c r="A598" t="s">
        <v>627</v>
      </c>
      <c r="B598" t="s">
        <v>31</v>
      </c>
      <c r="C598">
        <v>68</v>
      </c>
      <c r="D598" s="4" t="s">
        <v>28</v>
      </c>
      <c r="E598" s="5">
        <v>45112</v>
      </c>
      <c r="F598">
        <v>41</v>
      </c>
      <c r="G598">
        <v>3.1</v>
      </c>
      <c r="H598">
        <f>IF(MONTH(calls[[#This Row],[Date of Call]])&lt;=6, YEAR(calls[[#This Row],[Date of Call]]), YEAR(calls[[#This Row],[Date of Call]])+1)</f>
        <v>2024</v>
      </c>
      <c r="I598" t="str">
        <f>TEXT(calls[[#This Row],[Date of Call]],"DDDD")</f>
        <v>Wednesday</v>
      </c>
      <c r="J598" t="str">
        <f t="array" ref="J598">_xlfn.IFS(calls[[#This Row],[Duration]]&lt;=10,"Under 10 mins", calls[[#This Row],[Duration]]&lt;=30, "10 to 30 mins", calls[[#This Row],[Duration]]&lt;=60, "30 to 60 mins", calls[[#This Row],[Duration]]&lt;=120, "1 to 2 hours", TRUE, "More than 2 hours")</f>
        <v>1 to 2 hours</v>
      </c>
      <c r="K598">
        <f>ROUND(calls[[#This Row],[Satisfaction Rating]],0)</f>
        <v>3</v>
      </c>
    </row>
    <row r="599" spans="1:11" ht="13.8" x14ac:dyDescent="0.25">
      <c r="A599" t="s">
        <v>628</v>
      </c>
      <c r="B599" t="s">
        <v>22</v>
      </c>
      <c r="C599">
        <v>128</v>
      </c>
      <c r="D599" s="4" t="s">
        <v>28</v>
      </c>
      <c r="E599" s="5">
        <v>45112</v>
      </c>
      <c r="F599">
        <v>116</v>
      </c>
      <c r="G599">
        <v>2.2999999999999998</v>
      </c>
      <c r="H599">
        <f>IF(MONTH(calls[[#This Row],[Date of Call]])&lt;=6, YEAR(calls[[#This Row],[Date of Call]]), YEAR(calls[[#This Row],[Date of Call]])+1)</f>
        <v>2024</v>
      </c>
      <c r="I599" t="str">
        <f>TEXT(calls[[#This Row],[Date of Call]],"DDDD")</f>
        <v>Wednesday</v>
      </c>
      <c r="J599" t="str">
        <f t="array" ref="J599">_xlfn.IFS(calls[[#This Row],[Duration]]&lt;=10,"Under 10 mins", calls[[#This Row],[Duration]]&lt;=30, "10 to 30 mins", calls[[#This Row],[Duration]]&lt;=60, "30 to 60 mins", calls[[#This Row],[Duration]]&lt;=120, "1 to 2 hours", TRUE, "More than 2 hours")</f>
        <v>More than 2 hours</v>
      </c>
      <c r="K599">
        <f>ROUND(calls[[#This Row],[Satisfaction Rating]],0)</f>
        <v>2</v>
      </c>
    </row>
    <row r="600" spans="1:11" ht="13.8" x14ac:dyDescent="0.25">
      <c r="A600" t="s">
        <v>629</v>
      </c>
      <c r="B600" t="s">
        <v>12</v>
      </c>
      <c r="C600">
        <v>102</v>
      </c>
      <c r="D600" s="4" t="s">
        <v>13</v>
      </c>
      <c r="E600" s="5">
        <v>45113</v>
      </c>
      <c r="F600">
        <v>70</v>
      </c>
      <c r="G600">
        <v>2.8</v>
      </c>
      <c r="H600">
        <f>IF(MONTH(calls[[#This Row],[Date of Call]])&lt;=6, YEAR(calls[[#This Row],[Date of Call]]), YEAR(calls[[#This Row],[Date of Call]])+1)</f>
        <v>2024</v>
      </c>
      <c r="I600" t="str">
        <f>TEXT(calls[[#This Row],[Date of Call]],"DDDD")</f>
        <v>Thursday</v>
      </c>
      <c r="J600" t="str">
        <f t="array" ref="J600">_xlfn.IFS(calls[[#This Row],[Duration]]&lt;=10,"Under 10 mins", calls[[#This Row],[Duration]]&lt;=30, "10 to 30 mins", calls[[#This Row],[Duration]]&lt;=60, "30 to 60 mins", calls[[#This Row],[Duration]]&lt;=120, "1 to 2 hours", TRUE, "More than 2 hours")</f>
        <v>1 to 2 hours</v>
      </c>
      <c r="K600">
        <f>ROUND(calls[[#This Row],[Satisfaction Rating]],0)</f>
        <v>3</v>
      </c>
    </row>
    <row r="601" spans="1:11" ht="13.8" x14ac:dyDescent="0.25">
      <c r="A601" t="s">
        <v>630</v>
      </c>
      <c r="B601" t="s">
        <v>46</v>
      </c>
      <c r="C601">
        <v>52</v>
      </c>
      <c r="D601" s="4" t="s">
        <v>23</v>
      </c>
      <c r="E601" s="5">
        <v>45113</v>
      </c>
      <c r="F601">
        <v>42</v>
      </c>
      <c r="G601">
        <v>4.5</v>
      </c>
      <c r="H601">
        <f>IF(MONTH(calls[[#This Row],[Date of Call]])&lt;=6, YEAR(calls[[#This Row],[Date of Call]]), YEAR(calls[[#This Row],[Date of Call]])+1)</f>
        <v>2024</v>
      </c>
      <c r="I601" t="str">
        <f>TEXT(calls[[#This Row],[Date of Call]],"DDDD")</f>
        <v>Thursday</v>
      </c>
      <c r="J601" t="str">
        <f t="array" ref="J601">_xlfn.IFS(calls[[#This Row],[Duration]]&lt;=10,"Under 10 mins", calls[[#This Row],[Duration]]&lt;=30, "10 to 30 mins", calls[[#This Row],[Duration]]&lt;=60, "30 to 60 mins", calls[[#This Row],[Duration]]&lt;=120, "1 to 2 hours", TRUE, "More than 2 hours")</f>
        <v>30 to 60 mins</v>
      </c>
      <c r="K601">
        <f>ROUND(calls[[#This Row],[Satisfaction Rating]],0)</f>
        <v>5</v>
      </c>
    </row>
    <row r="602" spans="1:11" ht="13.8" x14ac:dyDescent="0.25">
      <c r="A602" t="s">
        <v>631</v>
      </c>
      <c r="B602" t="s">
        <v>22</v>
      </c>
      <c r="C602">
        <v>55</v>
      </c>
      <c r="D602" s="4" t="s">
        <v>18</v>
      </c>
      <c r="E602" s="5">
        <v>45114</v>
      </c>
      <c r="F602">
        <v>112</v>
      </c>
      <c r="G602">
        <v>4.5</v>
      </c>
      <c r="H602">
        <f>IF(MONTH(calls[[#This Row],[Date of Call]])&lt;=6, YEAR(calls[[#This Row],[Date of Call]]), YEAR(calls[[#This Row],[Date of Call]])+1)</f>
        <v>2024</v>
      </c>
      <c r="I602" t="str">
        <f>TEXT(calls[[#This Row],[Date of Call]],"DDDD")</f>
        <v>Friday</v>
      </c>
      <c r="J602" t="str">
        <f t="array" ref="J602">_xlfn.IFS(calls[[#This Row],[Duration]]&lt;=10,"Under 10 mins", calls[[#This Row],[Duration]]&lt;=30, "10 to 30 mins", calls[[#This Row],[Duration]]&lt;=60, "30 to 60 mins", calls[[#This Row],[Duration]]&lt;=120, "1 to 2 hours", TRUE, "More than 2 hours")</f>
        <v>30 to 60 mins</v>
      </c>
      <c r="K602">
        <f>ROUND(calls[[#This Row],[Satisfaction Rating]],0)</f>
        <v>5</v>
      </c>
    </row>
    <row r="603" spans="1:11" ht="13.8" x14ac:dyDescent="0.25">
      <c r="A603" t="s">
        <v>632</v>
      </c>
      <c r="B603" t="s">
        <v>20</v>
      </c>
      <c r="C603">
        <v>107</v>
      </c>
      <c r="D603" s="4" t="s">
        <v>28</v>
      </c>
      <c r="E603" s="5">
        <v>45114</v>
      </c>
      <c r="F603">
        <v>20</v>
      </c>
      <c r="G603">
        <v>4.5</v>
      </c>
      <c r="H603">
        <f>IF(MONTH(calls[[#This Row],[Date of Call]])&lt;=6, YEAR(calls[[#This Row],[Date of Call]]), YEAR(calls[[#This Row],[Date of Call]])+1)</f>
        <v>2024</v>
      </c>
      <c r="I603" t="str">
        <f>TEXT(calls[[#This Row],[Date of Call]],"DDDD")</f>
        <v>Friday</v>
      </c>
      <c r="J603" t="str">
        <f t="array" ref="J603">_xlfn.IFS(calls[[#This Row],[Duration]]&lt;=10,"Under 10 mins", calls[[#This Row],[Duration]]&lt;=30, "10 to 30 mins", calls[[#This Row],[Duration]]&lt;=60, "30 to 60 mins", calls[[#This Row],[Duration]]&lt;=120, "1 to 2 hours", TRUE, "More than 2 hours")</f>
        <v>1 to 2 hours</v>
      </c>
      <c r="K603">
        <f>ROUND(calls[[#This Row],[Satisfaction Rating]],0)</f>
        <v>5</v>
      </c>
    </row>
    <row r="604" spans="1:11" ht="13.8" x14ac:dyDescent="0.25">
      <c r="A604" t="s">
        <v>633</v>
      </c>
      <c r="B604" t="s">
        <v>37</v>
      </c>
      <c r="C604">
        <v>88</v>
      </c>
      <c r="D604" s="4" t="s">
        <v>23</v>
      </c>
      <c r="E604" s="5">
        <v>45115</v>
      </c>
      <c r="F604">
        <v>110</v>
      </c>
      <c r="G604">
        <v>4.8</v>
      </c>
      <c r="H604">
        <f>IF(MONTH(calls[[#This Row],[Date of Call]])&lt;=6, YEAR(calls[[#This Row],[Date of Call]]), YEAR(calls[[#This Row],[Date of Call]])+1)</f>
        <v>2024</v>
      </c>
      <c r="I604" t="str">
        <f>TEXT(calls[[#This Row],[Date of Call]],"DDDD")</f>
        <v>Saturday</v>
      </c>
      <c r="J604" t="str">
        <f t="array" ref="J604">_xlfn.IFS(calls[[#This Row],[Duration]]&lt;=10,"Under 10 mins", calls[[#This Row],[Duration]]&lt;=30, "10 to 30 mins", calls[[#This Row],[Duration]]&lt;=60, "30 to 60 mins", calls[[#This Row],[Duration]]&lt;=120, "1 to 2 hours", TRUE, "More than 2 hours")</f>
        <v>1 to 2 hours</v>
      </c>
      <c r="K604">
        <f>ROUND(calls[[#This Row],[Satisfaction Rating]],0)</f>
        <v>5</v>
      </c>
    </row>
    <row r="605" spans="1:11" ht="13.8" x14ac:dyDescent="0.25">
      <c r="A605" t="s">
        <v>634</v>
      </c>
      <c r="B605" t="s">
        <v>26</v>
      </c>
      <c r="C605">
        <v>49</v>
      </c>
      <c r="D605" s="4" t="s">
        <v>23</v>
      </c>
      <c r="E605" s="5">
        <v>45115</v>
      </c>
      <c r="F605">
        <v>39</v>
      </c>
      <c r="G605">
        <v>4.5999999999999996</v>
      </c>
      <c r="H605">
        <f>IF(MONTH(calls[[#This Row],[Date of Call]])&lt;=6, YEAR(calls[[#This Row],[Date of Call]]), YEAR(calls[[#This Row],[Date of Call]])+1)</f>
        <v>2024</v>
      </c>
      <c r="I605" t="str">
        <f>TEXT(calls[[#This Row],[Date of Call]],"DDDD")</f>
        <v>Saturday</v>
      </c>
      <c r="J605" t="str">
        <f t="array" ref="J605">_xlfn.IFS(calls[[#This Row],[Duration]]&lt;=10,"Under 10 mins", calls[[#This Row],[Duration]]&lt;=30, "10 to 30 mins", calls[[#This Row],[Duration]]&lt;=60, "30 to 60 mins", calls[[#This Row],[Duration]]&lt;=120, "1 to 2 hours", TRUE, "More than 2 hours")</f>
        <v>30 to 60 mins</v>
      </c>
      <c r="K605">
        <f>ROUND(calls[[#This Row],[Satisfaction Rating]],0)</f>
        <v>5</v>
      </c>
    </row>
    <row r="606" spans="1:11" ht="13.8" x14ac:dyDescent="0.25">
      <c r="A606" t="s">
        <v>635</v>
      </c>
      <c r="B606" t="s">
        <v>37</v>
      </c>
      <c r="C606">
        <v>72</v>
      </c>
      <c r="D606" s="4" t="s">
        <v>13</v>
      </c>
      <c r="E606" s="5">
        <v>45115</v>
      </c>
      <c r="F606">
        <v>76</v>
      </c>
      <c r="G606">
        <v>4.5</v>
      </c>
      <c r="H606">
        <f>IF(MONTH(calls[[#This Row],[Date of Call]])&lt;=6, YEAR(calls[[#This Row],[Date of Call]]), YEAR(calls[[#This Row],[Date of Call]])+1)</f>
        <v>2024</v>
      </c>
      <c r="I606" t="str">
        <f>TEXT(calls[[#This Row],[Date of Call]],"DDDD")</f>
        <v>Saturday</v>
      </c>
      <c r="J606" t="str">
        <f t="array" ref="J606">_xlfn.IFS(calls[[#This Row],[Duration]]&lt;=10,"Under 10 mins", calls[[#This Row],[Duration]]&lt;=30, "10 to 30 mins", calls[[#This Row],[Duration]]&lt;=60, "30 to 60 mins", calls[[#This Row],[Duration]]&lt;=120, "1 to 2 hours", TRUE, "More than 2 hours")</f>
        <v>1 to 2 hours</v>
      </c>
      <c r="K606">
        <f>ROUND(calls[[#This Row],[Satisfaction Rating]],0)</f>
        <v>5</v>
      </c>
    </row>
    <row r="607" spans="1:11" ht="13.8" x14ac:dyDescent="0.25">
      <c r="A607" t="s">
        <v>636</v>
      </c>
      <c r="B607" t="s">
        <v>15</v>
      </c>
      <c r="C607">
        <v>50</v>
      </c>
      <c r="D607" s="4" t="s">
        <v>13</v>
      </c>
      <c r="E607" s="5">
        <v>45115</v>
      </c>
      <c r="F607">
        <v>40</v>
      </c>
      <c r="G607">
        <v>5</v>
      </c>
      <c r="H607">
        <f>IF(MONTH(calls[[#This Row],[Date of Call]])&lt;=6, YEAR(calls[[#This Row],[Date of Call]]), YEAR(calls[[#This Row],[Date of Call]])+1)</f>
        <v>2024</v>
      </c>
      <c r="I607" t="str">
        <f>TEXT(calls[[#This Row],[Date of Call]],"DDDD")</f>
        <v>Saturday</v>
      </c>
      <c r="J607" t="str">
        <f t="array" ref="J607">_xlfn.IFS(calls[[#This Row],[Duration]]&lt;=10,"Under 10 mins", calls[[#This Row],[Duration]]&lt;=30, "10 to 30 mins", calls[[#This Row],[Duration]]&lt;=60, "30 to 60 mins", calls[[#This Row],[Duration]]&lt;=120, "1 to 2 hours", TRUE, "More than 2 hours")</f>
        <v>30 to 60 mins</v>
      </c>
      <c r="K607">
        <f>ROUND(calls[[#This Row],[Satisfaction Rating]],0)</f>
        <v>5</v>
      </c>
    </row>
    <row r="608" spans="1:11" ht="13.8" x14ac:dyDescent="0.25">
      <c r="A608" t="s">
        <v>637</v>
      </c>
      <c r="B608" t="s">
        <v>37</v>
      </c>
      <c r="C608">
        <v>52</v>
      </c>
      <c r="D608" s="4" t="s">
        <v>28</v>
      </c>
      <c r="E608" s="5">
        <v>45115</v>
      </c>
      <c r="F608">
        <v>42</v>
      </c>
      <c r="G608">
        <v>4.8</v>
      </c>
      <c r="H608">
        <f>IF(MONTH(calls[[#This Row],[Date of Call]])&lt;=6, YEAR(calls[[#This Row],[Date of Call]]), YEAR(calls[[#This Row],[Date of Call]])+1)</f>
        <v>2024</v>
      </c>
      <c r="I608" t="str">
        <f>TEXT(calls[[#This Row],[Date of Call]],"DDDD")</f>
        <v>Saturday</v>
      </c>
      <c r="J608" t="str">
        <f t="array" ref="J608">_xlfn.IFS(calls[[#This Row],[Duration]]&lt;=10,"Under 10 mins", calls[[#This Row],[Duration]]&lt;=30, "10 to 30 mins", calls[[#This Row],[Duration]]&lt;=60, "30 to 60 mins", calls[[#This Row],[Duration]]&lt;=120, "1 to 2 hours", TRUE, "More than 2 hours")</f>
        <v>30 to 60 mins</v>
      </c>
      <c r="K608">
        <f>ROUND(calls[[#This Row],[Satisfaction Rating]],0)</f>
        <v>5</v>
      </c>
    </row>
    <row r="609" spans="1:11" ht="13.8" x14ac:dyDescent="0.25">
      <c r="A609" t="s">
        <v>638</v>
      </c>
      <c r="B609" t="s">
        <v>17</v>
      </c>
      <c r="C609">
        <v>85</v>
      </c>
      <c r="D609" s="4" t="s">
        <v>32</v>
      </c>
      <c r="E609" s="5">
        <v>45116</v>
      </c>
      <c r="F609">
        <v>215</v>
      </c>
      <c r="G609">
        <v>3.5</v>
      </c>
      <c r="H609">
        <f>IF(MONTH(calls[[#This Row],[Date of Call]])&lt;=6, YEAR(calls[[#This Row],[Date of Call]]), YEAR(calls[[#This Row],[Date of Call]])+1)</f>
        <v>2024</v>
      </c>
      <c r="I609" t="str">
        <f>TEXT(calls[[#This Row],[Date of Call]],"DDDD")</f>
        <v>Sunday</v>
      </c>
      <c r="J609" t="str">
        <f t="array" ref="J609">_xlfn.IFS(calls[[#This Row],[Duration]]&lt;=10,"Under 10 mins", calls[[#This Row],[Duration]]&lt;=30, "10 to 30 mins", calls[[#This Row],[Duration]]&lt;=60, "30 to 60 mins", calls[[#This Row],[Duration]]&lt;=120, "1 to 2 hours", TRUE, "More than 2 hours")</f>
        <v>1 to 2 hours</v>
      </c>
      <c r="K609">
        <f>ROUND(calls[[#This Row],[Satisfaction Rating]],0)</f>
        <v>4</v>
      </c>
    </row>
    <row r="610" spans="1:11" ht="13.8" x14ac:dyDescent="0.25">
      <c r="A610" t="s">
        <v>639</v>
      </c>
      <c r="B610" t="s">
        <v>43</v>
      </c>
      <c r="C610">
        <v>98</v>
      </c>
      <c r="D610" s="4" t="s">
        <v>32</v>
      </c>
      <c r="E610" s="5">
        <v>45117</v>
      </c>
      <c r="F610">
        <v>130</v>
      </c>
      <c r="G610">
        <v>3.4</v>
      </c>
      <c r="H610">
        <f>IF(MONTH(calls[[#This Row],[Date of Call]])&lt;=6, YEAR(calls[[#This Row],[Date of Call]]), YEAR(calls[[#This Row],[Date of Call]])+1)</f>
        <v>2024</v>
      </c>
      <c r="I610" t="str">
        <f>TEXT(calls[[#This Row],[Date of Call]],"DDDD")</f>
        <v>Monday</v>
      </c>
      <c r="J610" t="str">
        <f t="array" ref="J610">_xlfn.IFS(calls[[#This Row],[Duration]]&lt;=10,"Under 10 mins", calls[[#This Row],[Duration]]&lt;=30, "10 to 30 mins", calls[[#This Row],[Duration]]&lt;=60, "30 to 60 mins", calls[[#This Row],[Duration]]&lt;=120, "1 to 2 hours", TRUE, "More than 2 hours")</f>
        <v>1 to 2 hours</v>
      </c>
      <c r="K610">
        <f>ROUND(calls[[#This Row],[Satisfaction Rating]],0)</f>
        <v>3</v>
      </c>
    </row>
    <row r="611" spans="1:11" ht="13.8" x14ac:dyDescent="0.25">
      <c r="A611" t="s">
        <v>640</v>
      </c>
      <c r="B611" t="s">
        <v>51</v>
      </c>
      <c r="C611">
        <v>52</v>
      </c>
      <c r="D611" s="4" t="s">
        <v>32</v>
      </c>
      <c r="E611" s="5">
        <v>45117</v>
      </c>
      <c r="F611">
        <v>190</v>
      </c>
      <c r="G611">
        <v>3.3</v>
      </c>
      <c r="H611">
        <f>IF(MONTH(calls[[#This Row],[Date of Call]])&lt;=6, YEAR(calls[[#This Row],[Date of Call]]), YEAR(calls[[#This Row],[Date of Call]])+1)</f>
        <v>2024</v>
      </c>
      <c r="I611" t="str">
        <f>TEXT(calls[[#This Row],[Date of Call]],"DDDD")</f>
        <v>Monday</v>
      </c>
      <c r="J611" t="str">
        <f t="array" ref="J611">_xlfn.IFS(calls[[#This Row],[Duration]]&lt;=10,"Under 10 mins", calls[[#This Row],[Duration]]&lt;=30, "10 to 30 mins", calls[[#This Row],[Duration]]&lt;=60, "30 to 60 mins", calls[[#This Row],[Duration]]&lt;=120, "1 to 2 hours", TRUE, "More than 2 hours")</f>
        <v>30 to 60 mins</v>
      </c>
      <c r="K611">
        <f>ROUND(calls[[#This Row],[Satisfaction Rating]],0)</f>
        <v>3</v>
      </c>
    </row>
    <row r="612" spans="1:11" ht="13.8" x14ac:dyDescent="0.25">
      <c r="A612" t="s">
        <v>641</v>
      </c>
      <c r="B612" t="s">
        <v>22</v>
      </c>
      <c r="C612">
        <v>154</v>
      </c>
      <c r="D612" s="4" t="s">
        <v>23</v>
      </c>
      <c r="E612" s="5">
        <v>45117</v>
      </c>
      <c r="F612">
        <v>164</v>
      </c>
      <c r="G612">
        <v>4.9000000000000004</v>
      </c>
      <c r="H612">
        <f>IF(MONTH(calls[[#This Row],[Date of Call]])&lt;=6, YEAR(calls[[#This Row],[Date of Call]]), YEAR(calls[[#This Row],[Date of Call]])+1)</f>
        <v>2024</v>
      </c>
      <c r="I612" t="str">
        <f>TEXT(calls[[#This Row],[Date of Call]],"DDDD")</f>
        <v>Monday</v>
      </c>
      <c r="J612" t="str">
        <f t="array" ref="J612">_xlfn.IFS(calls[[#This Row],[Duration]]&lt;=10,"Under 10 mins", calls[[#This Row],[Duration]]&lt;=30, "10 to 30 mins", calls[[#This Row],[Duration]]&lt;=60, "30 to 60 mins", calls[[#This Row],[Duration]]&lt;=120, "1 to 2 hours", TRUE, "More than 2 hours")</f>
        <v>More than 2 hours</v>
      </c>
      <c r="K612">
        <f>ROUND(calls[[#This Row],[Satisfaction Rating]],0)</f>
        <v>5</v>
      </c>
    </row>
    <row r="613" spans="1:11" ht="13.8" x14ac:dyDescent="0.25">
      <c r="A613" t="s">
        <v>642</v>
      </c>
      <c r="B613" t="s">
        <v>84</v>
      </c>
      <c r="C613">
        <v>131</v>
      </c>
      <c r="D613" s="4" t="s">
        <v>18</v>
      </c>
      <c r="E613" s="5">
        <v>45118</v>
      </c>
      <c r="F613">
        <v>76</v>
      </c>
      <c r="G613">
        <v>4.5</v>
      </c>
      <c r="H613">
        <f>IF(MONTH(calls[[#This Row],[Date of Call]])&lt;=6, YEAR(calls[[#This Row],[Date of Call]]), YEAR(calls[[#This Row],[Date of Call]])+1)</f>
        <v>2024</v>
      </c>
      <c r="I613" t="str">
        <f>TEXT(calls[[#This Row],[Date of Call]],"DDDD")</f>
        <v>Tuesday</v>
      </c>
      <c r="J613" t="str">
        <f t="array" ref="J613">_xlfn.IFS(calls[[#This Row],[Duration]]&lt;=10,"Under 10 mins", calls[[#This Row],[Duration]]&lt;=30, "10 to 30 mins", calls[[#This Row],[Duration]]&lt;=60, "30 to 60 mins", calls[[#This Row],[Duration]]&lt;=120, "1 to 2 hours", TRUE, "More than 2 hours")</f>
        <v>More than 2 hours</v>
      </c>
      <c r="K613">
        <f>ROUND(calls[[#This Row],[Satisfaction Rating]],0)</f>
        <v>5</v>
      </c>
    </row>
    <row r="614" spans="1:11" ht="13.8" x14ac:dyDescent="0.25">
      <c r="A614" t="s">
        <v>643</v>
      </c>
      <c r="B614" t="s">
        <v>17</v>
      </c>
      <c r="C614">
        <v>73</v>
      </c>
      <c r="D614" s="4" t="s">
        <v>18</v>
      </c>
      <c r="E614" s="5">
        <v>45119</v>
      </c>
      <c r="F614">
        <v>87</v>
      </c>
      <c r="G614">
        <v>4.8</v>
      </c>
      <c r="H614">
        <f>IF(MONTH(calls[[#This Row],[Date of Call]])&lt;=6, YEAR(calls[[#This Row],[Date of Call]]), YEAR(calls[[#This Row],[Date of Call]])+1)</f>
        <v>2024</v>
      </c>
      <c r="I614" t="str">
        <f>TEXT(calls[[#This Row],[Date of Call]],"DDDD")</f>
        <v>Wednesday</v>
      </c>
      <c r="J614" t="str">
        <f t="array" ref="J614">_xlfn.IFS(calls[[#This Row],[Duration]]&lt;=10,"Under 10 mins", calls[[#This Row],[Duration]]&lt;=30, "10 to 30 mins", calls[[#This Row],[Duration]]&lt;=60, "30 to 60 mins", calls[[#This Row],[Duration]]&lt;=120, "1 to 2 hours", TRUE, "More than 2 hours")</f>
        <v>1 to 2 hours</v>
      </c>
      <c r="K614">
        <f>ROUND(calls[[#This Row],[Satisfaction Rating]],0)</f>
        <v>5</v>
      </c>
    </row>
    <row r="615" spans="1:11" ht="13.8" x14ac:dyDescent="0.25">
      <c r="A615" t="s">
        <v>644</v>
      </c>
      <c r="B615" t="s">
        <v>35</v>
      </c>
      <c r="C615">
        <v>45</v>
      </c>
      <c r="D615" s="4" t="s">
        <v>32</v>
      </c>
      <c r="E615" s="5">
        <v>45119</v>
      </c>
      <c r="F615">
        <v>84</v>
      </c>
      <c r="G615">
        <v>4.8</v>
      </c>
      <c r="H615">
        <f>IF(MONTH(calls[[#This Row],[Date of Call]])&lt;=6, YEAR(calls[[#This Row],[Date of Call]]), YEAR(calls[[#This Row],[Date of Call]])+1)</f>
        <v>2024</v>
      </c>
      <c r="I615" t="str">
        <f>TEXT(calls[[#This Row],[Date of Call]],"DDDD")</f>
        <v>Wednesday</v>
      </c>
      <c r="J615" t="str">
        <f t="array" ref="J615">_xlfn.IFS(calls[[#This Row],[Duration]]&lt;=10,"Under 10 mins", calls[[#This Row],[Duration]]&lt;=30, "10 to 30 mins", calls[[#This Row],[Duration]]&lt;=60, "30 to 60 mins", calls[[#This Row],[Duration]]&lt;=120, "1 to 2 hours", TRUE, "More than 2 hours")</f>
        <v>30 to 60 mins</v>
      </c>
      <c r="K615">
        <f>ROUND(calls[[#This Row],[Satisfaction Rating]],0)</f>
        <v>5</v>
      </c>
    </row>
    <row r="616" spans="1:11" ht="13.8" x14ac:dyDescent="0.25">
      <c r="A616" t="s">
        <v>645</v>
      </c>
      <c r="B616" t="s">
        <v>46</v>
      </c>
      <c r="C616">
        <v>114</v>
      </c>
      <c r="D616" s="4" t="s">
        <v>28</v>
      </c>
      <c r="E616" s="5">
        <v>45119</v>
      </c>
      <c r="F616">
        <v>114</v>
      </c>
      <c r="G616">
        <v>3.9</v>
      </c>
      <c r="H616">
        <f>IF(MONTH(calls[[#This Row],[Date of Call]])&lt;=6, YEAR(calls[[#This Row],[Date of Call]]), YEAR(calls[[#This Row],[Date of Call]])+1)</f>
        <v>2024</v>
      </c>
      <c r="I616" t="str">
        <f>TEXT(calls[[#This Row],[Date of Call]],"DDDD")</f>
        <v>Wednesday</v>
      </c>
      <c r="J616" t="str">
        <f t="array" ref="J616">_xlfn.IFS(calls[[#This Row],[Duration]]&lt;=10,"Under 10 mins", calls[[#This Row],[Duration]]&lt;=30, "10 to 30 mins", calls[[#This Row],[Duration]]&lt;=60, "30 to 60 mins", calls[[#This Row],[Duration]]&lt;=120, "1 to 2 hours", TRUE, "More than 2 hours")</f>
        <v>1 to 2 hours</v>
      </c>
      <c r="K616">
        <f>ROUND(calls[[#This Row],[Satisfaction Rating]],0)</f>
        <v>4</v>
      </c>
    </row>
    <row r="617" spans="1:11" ht="13.8" x14ac:dyDescent="0.25">
      <c r="A617" t="s">
        <v>646</v>
      </c>
      <c r="B617" t="s">
        <v>43</v>
      </c>
      <c r="C617">
        <v>69</v>
      </c>
      <c r="D617" s="4" t="s">
        <v>18</v>
      </c>
      <c r="E617" s="5">
        <v>45120</v>
      </c>
      <c r="F617">
        <v>56</v>
      </c>
      <c r="G617">
        <v>3.9</v>
      </c>
      <c r="H617">
        <f>IF(MONTH(calls[[#This Row],[Date of Call]])&lt;=6, YEAR(calls[[#This Row],[Date of Call]]), YEAR(calls[[#This Row],[Date of Call]])+1)</f>
        <v>2024</v>
      </c>
      <c r="I617" t="str">
        <f>TEXT(calls[[#This Row],[Date of Call]],"DDDD")</f>
        <v>Thursday</v>
      </c>
      <c r="J617" t="str">
        <f t="array" ref="J617">_xlfn.IFS(calls[[#This Row],[Duration]]&lt;=10,"Under 10 mins", calls[[#This Row],[Duration]]&lt;=30, "10 to 30 mins", calls[[#This Row],[Duration]]&lt;=60, "30 to 60 mins", calls[[#This Row],[Duration]]&lt;=120, "1 to 2 hours", TRUE, "More than 2 hours")</f>
        <v>1 to 2 hours</v>
      </c>
      <c r="K617">
        <f>ROUND(calls[[#This Row],[Satisfaction Rating]],0)</f>
        <v>4</v>
      </c>
    </row>
    <row r="618" spans="1:11" ht="13.8" x14ac:dyDescent="0.25">
      <c r="A618" t="s">
        <v>647</v>
      </c>
      <c r="B618" t="s">
        <v>84</v>
      </c>
      <c r="C618">
        <v>33</v>
      </c>
      <c r="D618" s="4" t="s">
        <v>23</v>
      </c>
      <c r="E618" s="5">
        <v>45120</v>
      </c>
      <c r="F618">
        <v>27</v>
      </c>
      <c r="G618">
        <v>3.7</v>
      </c>
      <c r="H618">
        <f>IF(MONTH(calls[[#This Row],[Date of Call]])&lt;=6, YEAR(calls[[#This Row],[Date of Call]]), YEAR(calls[[#This Row],[Date of Call]])+1)</f>
        <v>2024</v>
      </c>
      <c r="I618" t="str">
        <f>TEXT(calls[[#This Row],[Date of Call]],"DDDD")</f>
        <v>Thursday</v>
      </c>
      <c r="J618" t="str">
        <f t="array" ref="J618">_xlfn.IFS(calls[[#This Row],[Duration]]&lt;=10,"Under 10 mins", calls[[#This Row],[Duration]]&lt;=30, "10 to 30 mins", calls[[#This Row],[Duration]]&lt;=60, "30 to 60 mins", calls[[#This Row],[Duration]]&lt;=120, "1 to 2 hours", TRUE, "More than 2 hours")</f>
        <v>30 to 60 mins</v>
      </c>
      <c r="K618">
        <f>ROUND(calls[[#This Row],[Satisfaction Rating]],0)</f>
        <v>4</v>
      </c>
    </row>
    <row r="619" spans="1:11" ht="13.8" x14ac:dyDescent="0.25">
      <c r="A619" t="s">
        <v>648</v>
      </c>
      <c r="B619" t="s">
        <v>15</v>
      </c>
      <c r="C619">
        <v>31</v>
      </c>
      <c r="D619" s="4" t="s">
        <v>13</v>
      </c>
      <c r="E619" s="5">
        <v>45121</v>
      </c>
      <c r="F619">
        <v>84</v>
      </c>
      <c r="G619">
        <v>4.8</v>
      </c>
      <c r="H619">
        <f>IF(MONTH(calls[[#This Row],[Date of Call]])&lt;=6, YEAR(calls[[#This Row],[Date of Call]]), YEAR(calls[[#This Row],[Date of Call]])+1)</f>
        <v>2024</v>
      </c>
      <c r="I619" t="str">
        <f>TEXT(calls[[#This Row],[Date of Call]],"DDDD")</f>
        <v>Friday</v>
      </c>
      <c r="J619" t="str">
        <f t="array" ref="J619">_xlfn.IFS(calls[[#This Row],[Duration]]&lt;=10,"Under 10 mins", calls[[#This Row],[Duration]]&lt;=30, "10 to 30 mins", calls[[#This Row],[Duration]]&lt;=60, "30 to 60 mins", calls[[#This Row],[Duration]]&lt;=120, "1 to 2 hours", TRUE, "More than 2 hours")</f>
        <v>30 to 60 mins</v>
      </c>
      <c r="K619">
        <f>ROUND(calls[[#This Row],[Satisfaction Rating]],0)</f>
        <v>5</v>
      </c>
    </row>
    <row r="620" spans="1:11" ht="13.8" x14ac:dyDescent="0.25">
      <c r="A620" t="s">
        <v>649</v>
      </c>
      <c r="B620" t="s">
        <v>35</v>
      </c>
      <c r="C620">
        <v>168</v>
      </c>
      <c r="D620" s="4" t="s">
        <v>23</v>
      </c>
      <c r="E620" s="5">
        <v>45121</v>
      </c>
      <c r="F620">
        <v>72</v>
      </c>
      <c r="G620">
        <v>3.5</v>
      </c>
      <c r="H620">
        <f>IF(MONTH(calls[[#This Row],[Date of Call]])&lt;=6, YEAR(calls[[#This Row],[Date of Call]]), YEAR(calls[[#This Row],[Date of Call]])+1)</f>
        <v>2024</v>
      </c>
      <c r="I620" t="str">
        <f>TEXT(calls[[#This Row],[Date of Call]],"DDDD")</f>
        <v>Friday</v>
      </c>
      <c r="J620" t="str">
        <f t="array" ref="J620">_xlfn.IFS(calls[[#This Row],[Duration]]&lt;=10,"Under 10 mins", calls[[#This Row],[Duration]]&lt;=30, "10 to 30 mins", calls[[#This Row],[Duration]]&lt;=60, "30 to 60 mins", calls[[#This Row],[Duration]]&lt;=120, "1 to 2 hours", TRUE, "More than 2 hours")</f>
        <v>More than 2 hours</v>
      </c>
      <c r="K620">
        <f>ROUND(calls[[#This Row],[Satisfaction Rating]],0)</f>
        <v>4</v>
      </c>
    </row>
    <row r="621" spans="1:11" ht="13.8" x14ac:dyDescent="0.25">
      <c r="A621" t="s">
        <v>650</v>
      </c>
      <c r="B621" t="s">
        <v>17</v>
      </c>
      <c r="C621">
        <v>111</v>
      </c>
      <c r="D621" s="4" t="s">
        <v>28</v>
      </c>
      <c r="E621" s="5">
        <v>45122</v>
      </c>
      <c r="F621">
        <v>126</v>
      </c>
      <c r="G621">
        <v>4.2</v>
      </c>
      <c r="H621">
        <f>IF(MONTH(calls[[#This Row],[Date of Call]])&lt;=6, YEAR(calls[[#This Row],[Date of Call]]), YEAR(calls[[#This Row],[Date of Call]])+1)</f>
        <v>2024</v>
      </c>
      <c r="I621" t="str">
        <f>TEXT(calls[[#This Row],[Date of Call]],"DDDD")</f>
        <v>Saturday</v>
      </c>
      <c r="J621" t="str">
        <f t="array" ref="J621">_xlfn.IFS(calls[[#This Row],[Duration]]&lt;=10,"Under 10 mins", calls[[#This Row],[Duration]]&lt;=30, "10 to 30 mins", calls[[#This Row],[Duration]]&lt;=60, "30 to 60 mins", calls[[#This Row],[Duration]]&lt;=120, "1 to 2 hours", TRUE, "More than 2 hours")</f>
        <v>1 to 2 hours</v>
      </c>
      <c r="K621">
        <f>ROUND(calls[[#This Row],[Satisfaction Rating]],0)</f>
        <v>4</v>
      </c>
    </row>
    <row r="622" spans="1:11" ht="13.8" x14ac:dyDescent="0.25">
      <c r="A622" t="s">
        <v>651</v>
      </c>
      <c r="B622" t="s">
        <v>15</v>
      </c>
      <c r="C622">
        <v>80</v>
      </c>
      <c r="D622" s="4" t="s">
        <v>23</v>
      </c>
      <c r="E622" s="5">
        <v>45123</v>
      </c>
      <c r="F622">
        <v>88</v>
      </c>
      <c r="G622">
        <v>4.9000000000000004</v>
      </c>
      <c r="H622">
        <f>IF(MONTH(calls[[#This Row],[Date of Call]])&lt;=6, YEAR(calls[[#This Row],[Date of Call]]), YEAR(calls[[#This Row],[Date of Call]])+1)</f>
        <v>2024</v>
      </c>
      <c r="I622" t="str">
        <f>TEXT(calls[[#This Row],[Date of Call]],"DDDD")</f>
        <v>Sunday</v>
      </c>
      <c r="J622" t="str">
        <f t="array" ref="J622">_xlfn.IFS(calls[[#This Row],[Duration]]&lt;=10,"Under 10 mins", calls[[#This Row],[Duration]]&lt;=30, "10 to 30 mins", calls[[#This Row],[Duration]]&lt;=60, "30 to 60 mins", calls[[#This Row],[Duration]]&lt;=120, "1 to 2 hours", TRUE, "More than 2 hours")</f>
        <v>1 to 2 hours</v>
      </c>
      <c r="K622">
        <f>ROUND(calls[[#This Row],[Satisfaction Rating]],0)</f>
        <v>5</v>
      </c>
    </row>
    <row r="623" spans="1:11" ht="13.8" x14ac:dyDescent="0.25">
      <c r="A623" t="s">
        <v>652</v>
      </c>
      <c r="B623" t="s">
        <v>12</v>
      </c>
      <c r="C623">
        <v>37</v>
      </c>
      <c r="D623" s="4" t="s">
        <v>23</v>
      </c>
      <c r="E623" s="5">
        <v>45123</v>
      </c>
      <c r="F623">
        <v>124</v>
      </c>
      <c r="G623">
        <v>4.5999999999999996</v>
      </c>
      <c r="H623">
        <f>IF(MONTH(calls[[#This Row],[Date of Call]])&lt;=6, YEAR(calls[[#This Row],[Date of Call]]), YEAR(calls[[#This Row],[Date of Call]])+1)</f>
        <v>2024</v>
      </c>
      <c r="I623" t="str">
        <f>TEXT(calls[[#This Row],[Date of Call]],"DDDD")</f>
        <v>Sunday</v>
      </c>
      <c r="J623" t="str">
        <f t="array" ref="J623">_xlfn.IFS(calls[[#This Row],[Duration]]&lt;=10,"Under 10 mins", calls[[#This Row],[Duration]]&lt;=30, "10 to 30 mins", calls[[#This Row],[Duration]]&lt;=60, "30 to 60 mins", calls[[#This Row],[Duration]]&lt;=120, "1 to 2 hours", TRUE, "More than 2 hours")</f>
        <v>30 to 60 mins</v>
      </c>
      <c r="K623">
        <f>ROUND(calls[[#This Row],[Satisfaction Rating]],0)</f>
        <v>5</v>
      </c>
    </row>
    <row r="624" spans="1:11" ht="13.8" x14ac:dyDescent="0.25">
      <c r="A624" t="s">
        <v>653</v>
      </c>
      <c r="B624" t="s">
        <v>64</v>
      </c>
      <c r="C624">
        <v>137</v>
      </c>
      <c r="D624" s="4" t="s">
        <v>23</v>
      </c>
      <c r="E624" s="5">
        <v>45124</v>
      </c>
      <c r="F624">
        <v>84</v>
      </c>
      <c r="G624">
        <v>2.6</v>
      </c>
      <c r="H624">
        <f>IF(MONTH(calls[[#This Row],[Date of Call]])&lt;=6, YEAR(calls[[#This Row],[Date of Call]]), YEAR(calls[[#This Row],[Date of Call]])+1)</f>
        <v>2024</v>
      </c>
      <c r="I624" t="str">
        <f>TEXT(calls[[#This Row],[Date of Call]],"DDDD")</f>
        <v>Monday</v>
      </c>
      <c r="J624" t="str">
        <f t="array" ref="J624">_xlfn.IFS(calls[[#This Row],[Duration]]&lt;=10,"Under 10 mins", calls[[#This Row],[Duration]]&lt;=30, "10 to 30 mins", calls[[#This Row],[Duration]]&lt;=60, "30 to 60 mins", calls[[#This Row],[Duration]]&lt;=120, "1 to 2 hours", TRUE, "More than 2 hours")</f>
        <v>More than 2 hours</v>
      </c>
      <c r="K624">
        <f>ROUND(calls[[#This Row],[Satisfaction Rating]],0)</f>
        <v>3</v>
      </c>
    </row>
    <row r="625" spans="1:11" ht="13.8" x14ac:dyDescent="0.25">
      <c r="A625" t="s">
        <v>654</v>
      </c>
      <c r="B625" t="s">
        <v>43</v>
      </c>
      <c r="C625">
        <v>123</v>
      </c>
      <c r="D625" s="4" t="s">
        <v>28</v>
      </c>
      <c r="E625" s="5">
        <v>45124</v>
      </c>
      <c r="F625">
        <v>80</v>
      </c>
      <c r="G625">
        <v>2.7</v>
      </c>
      <c r="H625">
        <f>IF(MONTH(calls[[#This Row],[Date of Call]])&lt;=6, YEAR(calls[[#This Row],[Date of Call]]), YEAR(calls[[#This Row],[Date of Call]])+1)</f>
        <v>2024</v>
      </c>
      <c r="I625" t="str">
        <f>TEXT(calls[[#This Row],[Date of Call]],"DDDD")</f>
        <v>Monday</v>
      </c>
      <c r="J625" t="str">
        <f t="array" ref="J625">_xlfn.IFS(calls[[#This Row],[Duration]]&lt;=10,"Under 10 mins", calls[[#This Row],[Duration]]&lt;=30, "10 to 30 mins", calls[[#This Row],[Duration]]&lt;=60, "30 to 60 mins", calls[[#This Row],[Duration]]&lt;=120, "1 to 2 hours", TRUE, "More than 2 hours")</f>
        <v>More than 2 hours</v>
      </c>
      <c r="K625">
        <f>ROUND(calls[[#This Row],[Satisfaction Rating]],0)</f>
        <v>3</v>
      </c>
    </row>
    <row r="626" spans="1:11" ht="13.8" x14ac:dyDescent="0.25">
      <c r="A626" t="s">
        <v>655</v>
      </c>
      <c r="B626" t="s">
        <v>54</v>
      </c>
      <c r="C626">
        <v>105</v>
      </c>
      <c r="D626" s="4" t="s">
        <v>28</v>
      </c>
      <c r="E626" s="5">
        <v>45125</v>
      </c>
      <c r="F626">
        <v>176</v>
      </c>
      <c r="G626">
        <v>4.7</v>
      </c>
      <c r="H626">
        <f>IF(MONTH(calls[[#This Row],[Date of Call]])&lt;=6, YEAR(calls[[#This Row],[Date of Call]]), YEAR(calls[[#This Row],[Date of Call]])+1)</f>
        <v>2024</v>
      </c>
      <c r="I626" t="str">
        <f>TEXT(calls[[#This Row],[Date of Call]],"DDDD")</f>
        <v>Tuesday</v>
      </c>
      <c r="J626" t="str">
        <f t="array" ref="J626">_xlfn.IFS(calls[[#This Row],[Duration]]&lt;=10,"Under 10 mins", calls[[#This Row],[Duration]]&lt;=30, "10 to 30 mins", calls[[#This Row],[Duration]]&lt;=60, "30 to 60 mins", calls[[#This Row],[Duration]]&lt;=120, "1 to 2 hours", TRUE, "More than 2 hours")</f>
        <v>1 to 2 hours</v>
      </c>
      <c r="K626">
        <f>ROUND(calls[[#This Row],[Satisfaction Rating]],0)</f>
        <v>5</v>
      </c>
    </row>
    <row r="627" spans="1:11" ht="13.8" x14ac:dyDescent="0.25">
      <c r="A627" t="s">
        <v>656</v>
      </c>
      <c r="B627" t="s">
        <v>12</v>
      </c>
      <c r="C627">
        <v>76</v>
      </c>
      <c r="D627" s="4" t="s">
        <v>32</v>
      </c>
      <c r="E627" s="5">
        <v>45126</v>
      </c>
      <c r="F627">
        <v>84</v>
      </c>
      <c r="G627">
        <v>3.9</v>
      </c>
      <c r="H627">
        <f>IF(MONTH(calls[[#This Row],[Date of Call]])&lt;=6, YEAR(calls[[#This Row],[Date of Call]]), YEAR(calls[[#This Row],[Date of Call]])+1)</f>
        <v>2024</v>
      </c>
      <c r="I627" t="str">
        <f>TEXT(calls[[#This Row],[Date of Call]],"DDDD")</f>
        <v>Wednesday</v>
      </c>
      <c r="J627" t="str">
        <f t="array" ref="J627">_xlfn.IFS(calls[[#This Row],[Duration]]&lt;=10,"Under 10 mins", calls[[#This Row],[Duration]]&lt;=30, "10 to 30 mins", calls[[#This Row],[Duration]]&lt;=60, "30 to 60 mins", calls[[#This Row],[Duration]]&lt;=120, "1 to 2 hours", TRUE, "More than 2 hours")</f>
        <v>1 to 2 hours</v>
      </c>
      <c r="K627">
        <f>ROUND(calls[[#This Row],[Satisfaction Rating]],0)</f>
        <v>4</v>
      </c>
    </row>
    <row r="628" spans="1:11" ht="13.8" x14ac:dyDescent="0.25">
      <c r="A628" t="s">
        <v>657</v>
      </c>
      <c r="B628" t="s">
        <v>15</v>
      </c>
      <c r="C628">
        <v>144</v>
      </c>
      <c r="D628" s="4" t="s">
        <v>32</v>
      </c>
      <c r="E628" s="5">
        <v>45126</v>
      </c>
      <c r="F628">
        <v>164</v>
      </c>
      <c r="G628">
        <v>2.8</v>
      </c>
      <c r="H628">
        <f>IF(MONTH(calls[[#This Row],[Date of Call]])&lt;=6, YEAR(calls[[#This Row],[Date of Call]]), YEAR(calls[[#This Row],[Date of Call]])+1)</f>
        <v>2024</v>
      </c>
      <c r="I628" t="str">
        <f>TEXT(calls[[#This Row],[Date of Call]],"DDDD")</f>
        <v>Wednesday</v>
      </c>
      <c r="J628" t="str">
        <f t="array" ref="J628">_xlfn.IFS(calls[[#This Row],[Duration]]&lt;=10,"Under 10 mins", calls[[#This Row],[Duration]]&lt;=30, "10 to 30 mins", calls[[#This Row],[Duration]]&lt;=60, "30 to 60 mins", calls[[#This Row],[Duration]]&lt;=120, "1 to 2 hours", TRUE, "More than 2 hours")</f>
        <v>More than 2 hours</v>
      </c>
      <c r="K628">
        <f>ROUND(calls[[#This Row],[Satisfaction Rating]],0)</f>
        <v>3</v>
      </c>
    </row>
    <row r="629" spans="1:11" ht="13.8" x14ac:dyDescent="0.25">
      <c r="A629" t="s">
        <v>658</v>
      </c>
      <c r="B629" t="s">
        <v>84</v>
      </c>
      <c r="C629">
        <v>109</v>
      </c>
      <c r="D629" s="4" t="s">
        <v>13</v>
      </c>
      <c r="E629" s="5">
        <v>45126</v>
      </c>
      <c r="F629">
        <v>132</v>
      </c>
      <c r="G629">
        <v>3.1</v>
      </c>
      <c r="H629">
        <f>IF(MONTH(calls[[#This Row],[Date of Call]])&lt;=6, YEAR(calls[[#This Row],[Date of Call]]), YEAR(calls[[#This Row],[Date of Call]])+1)</f>
        <v>2024</v>
      </c>
      <c r="I629" t="str">
        <f>TEXT(calls[[#This Row],[Date of Call]],"DDDD")</f>
        <v>Wednesday</v>
      </c>
      <c r="J629" t="str">
        <f t="array" ref="J629">_xlfn.IFS(calls[[#This Row],[Duration]]&lt;=10,"Under 10 mins", calls[[#This Row],[Duration]]&lt;=30, "10 to 30 mins", calls[[#This Row],[Duration]]&lt;=60, "30 to 60 mins", calls[[#This Row],[Duration]]&lt;=120, "1 to 2 hours", TRUE, "More than 2 hours")</f>
        <v>1 to 2 hours</v>
      </c>
      <c r="K629">
        <f>ROUND(calls[[#This Row],[Satisfaction Rating]],0)</f>
        <v>3</v>
      </c>
    </row>
    <row r="630" spans="1:11" ht="13.8" x14ac:dyDescent="0.25">
      <c r="A630" t="s">
        <v>659</v>
      </c>
      <c r="B630" t="s">
        <v>43</v>
      </c>
      <c r="C630">
        <v>172</v>
      </c>
      <c r="D630" s="4" t="s">
        <v>23</v>
      </c>
      <c r="E630" s="5">
        <v>45127</v>
      </c>
      <c r="F630">
        <v>27</v>
      </c>
      <c r="G630">
        <v>4.2</v>
      </c>
      <c r="H630">
        <f>IF(MONTH(calls[[#This Row],[Date of Call]])&lt;=6, YEAR(calls[[#This Row],[Date of Call]]), YEAR(calls[[#This Row],[Date of Call]])+1)</f>
        <v>2024</v>
      </c>
      <c r="I630" t="str">
        <f>TEXT(calls[[#This Row],[Date of Call]],"DDDD")</f>
        <v>Thursday</v>
      </c>
      <c r="J630" t="str">
        <f t="array" ref="J630">_xlfn.IFS(calls[[#This Row],[Duration]]&lt;=10,"Under 10 mins", calls[[#This Row],[Duration]]&lt;=30, "10 to 30 mins", calls[[#This Row],[Duration]]&lt;=60, "30 to 60 mins", calls[[#This Row],[Duration]]&lt;=120, "1 to 2 hours", TRUE, "More than 2 hours")</f>
        <v>More than 2 hours</v>
      </c>
      <c r="K630">
        <f>ROUND(calls[[#This Row],[Satisfaction Rating]],0)</f>
        <v>4</v>
      </c>
    </row>
    <row r="631" spans="1:11" ht="13.8" x14ac:dyDescent="0.25">
      <c r="A631" t="s">
        <v>660</v>
      </c>
      <c r="B631" t="s">
        <v>15</v>
      </c>
      <c r="C631">
        <v>56</v>
      </c>
      <c r="D631" s="4" t="s">
        <v>28</v>
      </c>
      <c r="E631" s="5">
        <v>45127</v>
      </c>
      <c r="F631">
        <v>27</v>
      </c>
      <c r="G631">
        <v>4.3</v>
      </c>
      <c r="H631">
        <f>IF(MONTH(calls[[#This Row],[Date of Call]])&lt;=6, YEAR(calls[[#This Row],[Date of Call]]), YEAR(calls[[#This Row],[Date of Call]])+1)</f>
        <v>2024</v>
      </c>
      <c r="I631" t="str">
        <f>TEXT(calls[[#This Row],[Date of Call]],"DDDD")</f>
        <v>Thursday</v>
      </c>
      <c r="J631" t="str">
        <f t="array" ref="J631">_xlfn.IFS(calls[[#This Row],[Duration]]&lt;=10,"Under 10 mins", calls[[#This Row],[Duration]]&lt;=30, "10 to 30 mins", calls[[#This Row],[Duration]]&lt;=60, "30 to 60 mins", calls[[#This Row],[Duration]]&lt;=120, "1 to 2 hours", TRUE, "More than 2 hours")</f>
        <v>30 to 60 mins</v>
      </c>
      <c r="K631">
        <f>ROUND(calls[[#This Row],[Satisfaction Rating]],0)</f>
        <v>4</v>
      </c>
    </row>
    <row r="632" spans="1:11" ht="13.8" x14ac:dyDescent="0.25">
      <c r="A632" t="s">
        <v>661</v>
      </c>
      <c r="B632" t="s">
        <v>15</v>
      </c>
      <c r="C632">
        <v>121</v>
      </c>
      <c r="D632" s="4" t="s">
        <v>18</v>
      </c>
      <c r="E632" s="5">
        <v>45127</v>
      </c>
      <c r="F632">
        <v>20</v>
      </c>
      <c r="G632">
        <v>2.7</v>
      </c>
      <c r="H632">
        <f>IF(MONTH(calls[[#This Row],[Date of Call]])&lt;=6, YEAR(calls[[#This Row],[Date of Call]]), YEAR(calls[[#This Row],[Date of Call]])+1)</f>
        <v>2024</v>
      </c>
      <c r="I632" t="str">
        <f>TEXT(calls[[#This Row],[Date of Call]],"DDDD")</f>
        <v>Thursday</v>
      </c>
      <c r="J632" t="str">
        <f t="array" ref="J632">_xlfn.IFS(calls[[#This Row],[Duration]]&lt;=10,"Under 10 mins", calls[[#This Row],[Duration]]&lt;=30, "10 to 30 mins", calls[[#This Row],[Duration]]&lt;=60, "30 to 60 mins", calls[[#This Row],[Duration]]&lt;=120, "1 to 2 hours", TRUE, "More than 2 hours")</f>
        <v>More than 2 hours</v>
      </c>
      <c r="K632">
        <f>ROUND(calls[[#This Row],[Satisfaction Rating]],0)</f>
        <v>3</v>
      </c>
    </row>
    <row r="633" spans="1:11" ht="13.8" x14ac:dyDescent="0.25">
      <c r="A633" t="s">
        <v>662</v>
      </c>
      <c r="B633" t="s">
        <v>43</v>
      </c>
      <c r="C633">
        <v>41</v>
      </c>
      <c r="D633" s="4" t="s">
        <v>28</v>
      </c>
      <c r="E633" s="5">
        <v>45128</v>
      </c>
      <c r="F633">
        <v>112</v>
      </c>
      <c r="G633">
        <v>2.2999999999999998</v>
      </c>
      <c r="H633">
        <f>IF(MONTH(calls[[#This Row],[Date of Call]])&lt;=6, YEAR(calls[[#This Row],[Date of Call]]), YEAR(calls[[#This Row],[Date of Call]])+1)</f>
        <v>2024</v>
      </c>
      <c r="I633" t="str">
        <f>TEXT(calls[[#This Row],[Date of Call]],"DDDD")</f>
        <v>Friday</v>
      </c>
      <c r="J633" t="str">
        <f t="array" ref="J633">_xlfn.IFS(calls[[#This Row],[Duration]]&lt;=10,"Under 10 mins", calls[[#This Row],[Duration]]&lt;=30, "10 to 30 mins", calls[[#This Row],[Duration]]&lt;=60, "30 to 60 mins", calls[[#This Row],[Duration]]&lt;=120, "1 to 2 hours", TRUE, "More than 2 hours")</f>
        <v>30 to 60 mins</v>
      </c>
      <c r="K633">
        <f>ROUND(calls[[#This Row],[Satisfaction Rating]],0)</f>
        <v>2</v>
      </c>
    </row>
    <row r="634" spans="1:11" ht="13.8" x14ac:dyDescent="0.25">
      <c r="A634" t="s">
        <v>663</v>
      </c>
      <c r="B634" t="s">
        <v>20</v>
      </c>
      <c r="C634">
        <v>60</v>
      </c>
      <c r="D634" s="4" t="s">
        <v>23</v>
      </c>
      <c r="E634" s="5">
        <v>45128</v>
      </c>
      <c r="F634">
        <v>60</v>
      </c>
      <c r="G634">
        <v>2.2999999999999998</v>
      </c>
      <c r="H634">
        <f>IF(MONTH(calls[[#This Row],[Date of Call]])&lt;=6, YEAR(calls[[#This Row],[Date of Call]]), YEAR(calls[[#This Row],[Date of Call]])+1)</f>
        <v>2024</v>
      </c>
      <c r="I634" t="str">
        <f>TEXT(calls[[#This Row],[Date of Call]],"DDDD")</f>
        <v>Friday</v>
      </c>
      <c r="J634" t="str">
        <f t="array" ref="J634">_xlfn.IFS(calls[[#This Row],[Duration]]&lt;=10,"Under 10 mins", calls[[#This Row],[Duration]]&lt;=30, "10 to 30 mins", calls[[#This Row],[Duration]]&lt;=60, "30 to 60 mins", calls[[#This Row],[Duration]]&lt;=120, "1 to 2 hours", TRUE, "More than 2 hours")</f>
        <v>30 to 60 mins</v>
      </c>
      <c r="K634">
        <f>ROUND(calls[[#This Row],[Satisfaction Rating]],0)</f>
        <v>2</v>
      </c>
    </row>
    <row r="635" spans="1:11" ht="13.8" x14ac:dyDescent="0.25">
      <c r="A635" t="s">
        <v>664</v>
      </c>
      <c r="B635" t="s">
        <v>20</v>
      </c>
      <c r="C635">
        <v>144</v>
      </c>
      <c r="D635" s="4" t="s">
        <v>23</v>
      </c>
      <c r="E635" s="5">
        <v>45129</v>
      </c>
      <c r="F635">
        <v>102</v>
      </c>
      <c r="G635">
        <v>2.9</v>
      </c>
      <c r="H635">
        <f>IF(MONTH(calls[[#This Row],[Date of Call]])&lt;=6, YEAR(calls[[#This Row],[Date of Call]]), YEAR(calls[[#This Row],[Date of Call]])+1)</f>
        <v>2024</v>
      </c>
      <c r="I635" t="str">
        <f>TEXT(calls[[#This Row],[Date of Call]],"DDDD")</f>
        <v>Saturday</v>
      </c>
      <c r="J635" t="str">
        <f t="array" ref="J635">_xlfn.IFS(calls[[#This Row],[Duration]]&lt;=10,"Under 10 mins", calls[[#This Row],[Duration]]&lt;=30, "10 to 30 mins", calls[[#This Row],[Duration]]&lt;=60, "30 to 60 mins", calls[[#This Row],[Duration]]&lt;=120, "1 to 2 hours", TRUE, "More than 2 hours")</f>
        <v>More than 2 hours</v>
      </c>
      <c r="K635">
        <f>ROUND(calls[[#This Row],[Satisfaction Rating]],0)</f>
        <v>3</v>
      </c>
    </row>
    <row r="636" spans="1:11" ht="13.8" x14ac:dyDescent="0.25">
      <c r="A636" t="s">
        <v>665</v>
      </c>
      <c r="B636" t="s">
        <v>22</v>
      </c>
      <c r="C636">
        <v>67</v>
      </c>
      <c r="D636" s="4" t="s">
        <v>23</v>
      </c>
      <c r="E636" s="5">
        <v>45129</v>
      </c>
      <c r="F636">
        <v>38</v>
      </c>
      <c r="G636">
        <v>4.2</v>
      </c>
      <c r="H636">
        <f>IF(MONTH(calls[[#This Row],[Date of Call]])&lt;=6, YEAR(calls[[#This Row],[Date of Call]]), YEAR(calls[[#This Row],[Date of Call]])+1)</f>
        <v>2024</v>
      </c>
      <c r="I636" t="str">
        <f>TEXT(calls[[#This Row],[Date of Call]],"DDDD")</f>
        <v>Saturday</v>
      </c>
      <c r="J636" t="str">
        <f t="array" ref="J636">_xlfn.IFS(calls[[#This Row],[Duration]]&lt;=10,"Under 10 mins", calls[[#This Row],[Duration]]&lt;=30, "10 to 30 mins", calls[[#This Row],[Duration]]&lt;=60, "30 to 60 mins", calls[[#This Row],[Duration]]&lt;=120, "1 to 2 hours", TRUE, "More than 2 hours")</f>
        <v>1 to 2 hours</v>
      </c>
      <c r="K636">
        <f>ROUND(calls[[#This Row],[Satisfaction Rating]],0)</f>
        <v>4</v>
      </c>
    </row>
    <row r="637" spans="1:11" ht="13.8" x14ac:dyDescent="0.25">
      <c r="A637" t="s">
        <v>666</v>
      </c>
      <c r="B637" t="s">
        <v>43</v>
      </c>
      <c r="C637">
        <v>162</v>
      </c>
      <c r="D637" s="4" t="s">
        <v>13</v>
      </c>
      <c r="E637" s="5">
        <v>45129</v>
      </c>
      <c r="F637">
        <v>82</v>
      </c>
      <c r="G637">
        <v>4.5999999999999996</v>
      </c>
      <c r="H637">
        <f>IF(MONTH(calls[[#This Row],[Date of Call]])&lt;=6, YEAR(calls[[#This Row],[Date of Call]]), YEAR(calls[[#This Row],[Date of Call]])+1)</f>
        <v>2024</v>
      </c>
      <c r="I637" t="str">
        <f>TEXT(calls[[#This Row],[Date of Call]],"DDDD")</f>
        <v>Saturday</v>
      </c>
      <c r="J637" t="str">
        <f t="array" ref="J637">_xlfn.IFS(calls[[#This Row],[Duration]]&lt;=10,"Under 10 mins", calls[[#This Row],[Duration]]&lt;=30, "10 to 30 mins", calls[[#This Row],[Duration]]&lt;=60, "30 to 60 mins", calls[[#This Row],[Duration]]&lt;=120, "1 to 2 hours", TRUE, "More than 2 hours")</f>
        <v>More than 2 hours</v>
      </c>
      <c r="K637">
        <f>ROUND(calls[[#This Row],[Satisfaction Rating]],0)</f>
        <v>5</v>
      </c>
    </row>
    <row r="638" spans="1:11" ht="13.8" x14ac:dyDescent="0.25">
      <c r="A638" t="s">
        <v>667</v>
      </c>
      <c r="B638" t="s">
        <v>20</v>
      </c>
      <c r="C638">
        <v>87</v>
      </c>
      <c r="D638" s="4" t="s">
        <v>18</v>
      </c>
      <c r="E638" s="5">
        <v>45132</v>
      </c>
      <c r="F638">
        <v>125</v>
      </c>
      <c r="G638">
        <v>4.5</v>
      </c>
      <c r="H638">
        <f>IF(MONTH(calls[[#This Row],[Date of Call]])&lt;=6, YEAR(calls[[#This Row],[Date of Call]]), YEAR(calls[[#This Row],[Date of Call]])+1)</f>
        <v>2024</v>
      </c>
      <c r="I638" t="str">
        <f>TEXT(calls[[#This Row],[Date of Call]],"DDDD")</f>
        <v>Tuesday</v>
      </c>
      <c r="J638" t="str">
        <f t="array" ref="J638">_xlfn.IFS(calls[[#This Row],[Duration]]&lt;=10,"Under 10 mins", calls[[#This Row],[Duration]]&lt;=30, "10 to 30 mins", calls[[#This Row],[Duration]]&lt;=60, "30 to 60 mins", calls[[#This Row],[Duration]]&lt;=120, "1 to 2 hours", TRUE, "More than 2 hours")</f>
        <v>1 to 2 hours</v>
      </c>
      <c r="K638">
        <f>ROUND(calls[[#This Row],[Satisfaction Rating]],0)</f>
        <v>5</v>
      </c>
    </row>
    <row r="639" spans="1:11" ht="13.8" x14ac:dyDescent="0.25">
      <c r="A639" t="s">
        <v>668</v>
      </c>
      <c r="B639" t="s">
        <v>51</v>
      </c>
      <c r="C639">
        <v>10</v>
      </c>
      <c r="D639" s="4" t="s">
        <v>32</v>
      </c>
      <c r="E639" s="5">
        <v>45133</v>
      </c>
      <c r="F639">
        <v>72</v>
      </c>
      <c r="G639">
        <v>3.7</v>
      </c>
      <c r="H639">
        <f>IF(MONTH(calls[[#This Row],[Date of Call]])&lt;=6, YEAR(calls[[#This Row],[Date of Call]]), YEAR(calls[[#This Row],[Date of Call]])+1)</f>
        <v>2024</v>
      </c>
      <c r="I639" t="str">
        <f>TEXT(calls[[#This Row],[Date of Call]],"DDDD")</f>
        <v>Wednesday</v>
      </c>
      <c r="J639" t="str">
        <f t="array" ref="J639">_xlfn.IFS(calls[[#This Row],[Duration]]&lt;=10,"Under 10 mins", calls[[#This Row],[Duration]]&lt;=30, "10 to 30 mins", calls[[#This Row],[Duration]]&lt;=60, "30 to 60 mins", calls[[#This Row],[Duration]]&lt;=120, "1 to 2 hours", TRUE, "More than 2 hours")</f>
        <v>Under 10 mins</v>
      </c>
      <c r="K639">
        <f>ROUND(calls[[#This Row],[Satisfaction Rating]],0)</f>
        <v>4</v>
      </c>
    </row>
    <row r="640" spans="1:11" ht="13.8" x14ac:dyDescent="0.25">
      <c r="A640" t="s">
        <v>669</v>
      </c>
      <c r="B640" t="s">
        <v>15</v>
      </c>
      <c r="C640">
        <v>138</v>
      </c>
      <c r="D640" s="4" t="s">
        <v>32</v>
      </c>
      <c r="E640" s="5">
        <v>45133</v>
      </c>
      <c r="F640">
        <v>195</v>
      </c>
      <c r="G640">
        <v>4.0999999999999996</v>
      </c>
      <c r="H640">
        <f>IF(MONTH(calls[[#This Row],[Date of Call]])&lt;=6, YEAR(calls[[#This Row],[Date of Call]]), YEAR(calls[[#This Row],[Date of Call]])+1)</f>
        <v>2024</v>
      </c>
      <c r="I640" t="str">
        <f>TEXT(calls[[#This Row],[Date of Call]],"DDDD")</f>
        <v>Wednesday</v>
      </c>
      <c r="J640" t="str">
        <f t="array" ref="J640">_xlfn.IFS(calls[[#This Row],[Duration]]&lt;=10,"Under 10 mins", calls[[#This Row],[Duration]]&lt;=30, "10 to 30 mins", calls[[#This Row],[Duration]]&lt;=60, "30 to 60 mins", calls[[#This Row],[Duration]]&lt;=120, "1 to 2 hours", TRUE, "More than 2 hours")</f>
        <v>More than 2 hours</v>
      </c>
      <c r="K640">
        <f>ROUND(calls[[#This Row],[Satisfaction Rating]],0)</f>
        <v>4</v>
      </c>
    </row>
    <row r="641" spans="1:11" ht="13.8" x14ac:dyDescent="0.25">
      <c r="A641" t="s">
        <v>670</v>
      </c>
      <c r="B641" t="s">
        <v>43</v>
      </c>
      <c r="C641">
        <v>31</v>
      </c>
      <c r="D641" s="4" t="s">
        <v>32</v>
      </c>
      <c r="E641" s="5">
        <v>45134</v>
      </c>
      <c r="F641">
        <v>160</v>
      </c>
      <c r="G641">
        <v>3.4</v>
      </c>
      <c r="H641">
        <f>IF(MONTH(calls[[#This Row],[Date of Call]])&lt;=6, YEAR(calls[[#This Row],[Date of Call]]), YEAR(calls[[#This Row],[Date of Call]])+1)</f>
        <v>2024</v>
      </c>
      <c r="I641" t="str">
        <f>TEXT(calls[[#This Row],[Date of Call]],"DDDD")</f>
        <v>Thursday</v>
      </c>
      <c r="J641" t="str">
        <f t="array" ref="J641">_xlfn.IFS(calls[[#This Row],[Duration]]&lt;=10,"Under 10 mins", calls[[#This Row],[Duration]]&lt;=30, "10 to 30 mins", calls[[#This Row],[Duration]]&lt;=60, "30 to 60 mins", calls[[#This Row],[Duration]]&lt;=120, "1 to 2 hours", TRUE, "More than 2 hours")</f>
        <v>30 to 60 mins</v>
      </c>
      <c r="K641">
        <f>ROUND(calls[[#This Row],[Satisfaction Rating]],0)</f>
        <v>3</v>
      </c>
    </row>
    <row r="642" spans="1:11" ht="13.8" x14ac:dyDescent="0.25">
      <c r="A642" t="s">
        <v>671</v>
      </c>
      <c r="B642" t="s">
        <v>54</v>
      </c>
      <c r="C642">
        <v>75</v>
      </c>
      <c r="D642" s="4" t="s">
        <v>13</v>
      </c>
      <c r="E642" s="5">
        <v>45134</v>
      </c>
      <c r="F642">
        <v>78</v>
      </c>
      <c r="G642">
        <v>3.3</v>
      </c>
      <c r="H642">
        <f>IF(MONTH(calls[[#This Row],[Date of Call]])&lt;=6, YEAR(calls[[#This Row],[Date of Call]]), YEAR(calls[[#This Row],[Date of Call]])+1)</f>
        <v>2024</v>
      </c>
      <c r="I642" t="str">
        <f>TEXT(calls[[#This Row],[Date of Call]],"DDDD")</f>
        <v>Thursday</v>
      </c>
      <c r="J642" t="str">
        <f t="array" ref="J642">_xlfn.IFS(calls[[#This Row],[Duration]]&lt;=10,"Under 10 mins", calls[[#This Row],[Duration]]&lt;=30, "10 to 30 mins", calls[[#This Row],[Duration]]&lt;=60, "30 to 60 mins", calls[[#This Row],[Duration]]&lt;=120, "1 to 2 hours", TRUE, "More than 2 hours")</f>
        <v>1 to 2 hours</v>
      </c>
      <c r="K642">
        <f>ROUND(calls[[#This Row],[Satisfaction Rating]],0)</f>
        <v>3</v>
      </c>
    </row>
    <row r="643" spans="1:11" ht="13.8" x14ac:dyDescent="0.25">
      <c r="A643" t="s">
        <v>672</v>
      </c>
      <c r="B643" t="s">
        <v>12</v>
      </c>
      <c r="C643">
        <v>65</v>
      </c>
      <c r="D643" s="4" t="s">
        <v>13</v>
      </c>
      <c r="E643" s="5">
        <v>45135</v>
      </c>
      <c r="F643">
        <v>70</v>
      </c>
      <c r="G643">
        <v>4.4000000000000004</v>
      </c>
      <c r="H643">
        <f>IF(MONTH(calls[[#This Row],[Date of Call]])&lt;=6, YEAR(calls[[#This Row],[Date of Call]]), YEAR(calls[[#This Row],[Date of Call]])+1)</f>
        <v>2024</v>
      </c>
      <c r="I643" t="str">
        <f>TEXT(calls[[#This Row],[Date of Call]],"DDDD")</f>
        <v>Friday</v>
      </c>
      <c r="J643" t="str">
        <f t="array" ref="J643">_xlfn.IFS(calls[[#This Row],[Duration]]&lt;=10,"Under 10 mins", calls[[#This Row],[Duration]]&lt;=30, "10 to 30 mins", calls[[#This Row],[Duration]]&lt;=60, "30 to 60 mins", calls[[#This Row],[Duration]]&lt;=120, "1 to 2 hours", TRUE, "More than 2 hours")</f>
        <v>1 to 2 hours</v>
      </c>
      <c r="K643">
        <f>ROUND(calls[[#This Row],[Satisfaction Rating]],0)</f>
        <v>4</v>
      </c>
    </row>
    <row r="644" spans="1:11" ht="13.8" x14ac:dyDescent="0.25">
      <c r="A644" t="s">
        <v>673</v>
      </c>
      <c r="B644" t="s">
        <v>17</v>
      </c>
      <c r="C644">
        <v>106</v>
      </c>
      <c r="D644" s="4" t="s">
        <v>28</v>
      </c>
      <c r="E644" s="5">
        <v>45135</v>
      </c>
      <c r="F644">
        <v>105</v>
      </c>
      <c r="G644">
        <v>4.2</v>
      </c>
      <c r="H644">
        <f>IF(MONTH(calls[[#This Row],[Date of Call]])&lt;=6, YEAR(calls[[#This Row],[Date of Call]]), YEAR(calls[[#This Row],[Date of Call]])+1)</f>
        <v>2024</v>
      </c>
      <c r="I644" t="str">
        <f>TEXT(calls[[#This Row],[Date of Call]],"DDDD")</f>
        <v>Friday</v>
      </c>
      <c r="J644" t="str">
        <f t="array" ref="J644">_xlfn.IFS(calls[[#This Row],[Duration]]&lt;=10,"Under 10 mins", calls[[#This Row],[Duration]]&lt;=30, "10 to 30 mins", calls[[#This Row],[Duration]]&lt;=60, "30 to 60 mins", calls[[#This Row],[Duration]]&lt;=120, "1 to 2 hours", TRUE, "More than 2 hours")</f>
        <v>1 to 2 hours</v>
      </c>
      <c r="K644">
        <f>ROUND(calls[[#This Row],[Satisfaction Rating]],0)</f>
        <v>4</v>
      </c>
    </row>
    <row r="645" spans="1:11" ht="13.8" x14ac:dyDescent="0.25">
      <c r="A645" t="s">
        <v>674</v>
      </c>
      <c r="B645" t="s">
        <v>12</v>
      </c>
      <c r="C645">
        <v>107</v>
      </c>
      <c r="D645" s="4" t="s">
        <v>28</v>
      </c>
      <c r="E645" s="5">
        <v>45136</v>
      </c>
      <c r="F645">
        <v>78</v>
      </c>
      <c r="G645">
        <v>3.4</v>
      </c>
      <c r="H645">
        <f>IF(MONTH(calls[[#This Row],[Date of Call]])&lt;=6, YEAR(calls[[#This Row],[Date of Call]]), YEAR(calls[[#This Row],[Date of Call]])+1)</f>
        <v>2024</v>
      </c>
      <c r="I645" t="str">
        <f>TEXT(calls[[#This Row],[Date of Call]],"DDDD")</f>
        <v>Saturday</v>
      </c>
      <c r="J645" t="str">
        <f t="array" ref="J645">_xlfn.IFS(calls[[#This Row],[Duration]]&lt;=10,"Under 10 mins", calls[[#This Row],[Duration]]&lt;=30, "10 to 30 mins", calls[[#This Row],[Duration]]&lt;=60, "30 to 60 mins", calls[[#This Row],[Duration]]&lt;=120, "1 to 2 hours", TRUE, "More than 2 hours")</f>
        <v>1 to 2 hours</v>
      </c>
      <c r="K645">
        <f>ROUND(calls[[#This Row],[Satisfaction Rating]],0)</f>
        <v>3</v>
      </c>
    </row>
    <row r="646" spans="1:11" ht="13.8" x14ac:dyDescent="0.25">
      <c r="A646" t="s">
        <v>675</v>
      </c>
      <c r="B646" t="s">
        <v>64</v>
      </c>
      <c r="C646">
        <v>78</v>
      </c>
      <c r="D646" s="4" t="s">
        <v>28</v>
      </c>
      <c r="E646" s="5">
        <v>45138</v>
      </c>
      <c r="F646">
        <v>205</v>
      </c>
      <c r="G646">
        <v>4.4000000000000004</v>
      </c>
      <c r="H646">
        <f>IF(MONTH(calls[[#This Row],[Date of Call]])&lt;=6, YEAR(calls[[#This Row],[Date of Call]]), YEAR(calls[[#This Row],[Date of Call]])+1)</f>
        <v>2024</v>
      </c>
      <c r="I646" t="str">
        <f>TEXT(calls[[#This Row],[Date of Call]],"DDDD")</f>
        <v>Monday</v>
      </c>
      <c r="J646" t="str">
        <f t="array" ref="J646">_xlfn.IFS(calls[[#This Row],[Duration]]&lt;=10,"Under 10 mins", calls[[#This Row],[Duration]]&lt;=30, "10 to 30 mins", calls[[#This Row],[Duration]]&lt;=60, "30 to 60 mins", calls[[#This Row],[Duration]]&lt;=120, "1 to 2 hours", TRUE, "More than 2 hours")</f>
        <v>1 to 2 hours</v>
      </c>
      <c r="K646">
        <f>ROUND(calls[[#This Row],[Satisfaction Rating]],0)</f>
        <v>4</v>
      </c>
    </row>
    <row r="647" spans="1:11" ht="13.8" x14ac:dyDescent="0.25">
      <c r="A647" t="s">
        <v>676</v>
      </c>
      <c r="B647" t="s">
        <v>37</v>
      </c>
      <c r="C647">
        <v>122</v>
      </c>
      <c r="D647" s="4" t="s">
        <v>28</v>
      </c>
      <c r="E647" s="5">
        <v>45138</v>
      </c>
      <c r="F647">
        <v>78</v>
      </c>
      <c r="G647">
        <v>2.7</v>
      </c>
      <c r="H647">
        <f>IF(MONTH(calls[[#This Row],[Date of Call]])&lt;=6, YEAR(calls[[#This Row],[Date of Call]]), YEAR(calls[[#This Row],[Date of Call]])+1)</f>
        <v>2024</v>
      </c>
      <c r="I647" t="str">
        <f>TEXT(calls[[#This Row],[Date of Call]],"DDDD")</f>
        <v>Monday</v>
      </c>
      <c r="J647" t="str">
        <f t="array" ref="J647">_xlfn.IFS(calls[[#This Row],[Duration]]&lt;=10,"Under 10 mins", calls[[#This Row],[Duration]]&lt;=30, "10 to 30 mins", calls[[#This Row],[Duration]]&lt;=60, "30 to 60 mins", calls[[#This Row],[Duration]]&lt;=120, "1 to 2 hours", TRUE, "More than 2 hours")</f>
        <v>More than 2 hours</v>
      </c>
      <c r="K647">
        <f>ROUND(calls[[#This Row],[Satisfaction Rating]],0)</f>
        <v>3</v>
      </c>
    </row>
    <row r="648" spans="1:11" ht="13.8" x14ac:dyDescent="0.25">
      <c r="A648" t="s">
        <v>677</v>
      </c>
      <c r="B648" t="s">
        <v>15</v>
      </c>
      <c r="C648">
        <v>58</v>
      </c>
      <c r="D648" s="4" t="s">
        <v>32</v>
      </c>
      <c r="E648" s="5">
        <v>45138</v>
      </c>
      <c r="F648">
        <v>38</v>
      </c>
      <c r="G648">
        <v>4.5</v>
      </c>
      <c r="H648">
        <f>IF(MONTH(calls[[#This Row],[Date of Call]])&lt;=6, YEAR(calls[[#This Row],[Date of Call]]), YEAR(calls[[#This Row],[Date of Call]])+1)</f>
        <v>2024</v>
      </c>
      <c r="I648" t="str">
        <f>TEXT(calls[[#This Row],[Date of Call]],"DDDD")</f>
        <v>Monday</v>
      </c>
      <c r="J648" t="str">
        <f t="array" ref="J648">_xlfn.IFS(calls[[#This Row],[Duration]]&lt;=10,"Under 10 mins", calls[[#This Row],[Duration]]&lt;=30, "10 to 30 mins", calls[[#This Row],[Duration]]&lt;=60, "30 to 60 mins", calls[[#This Row],[Duration]]&lt;=120, "1 to 2 hours", TRUE, "More than 2 hours")</f>
        <v>30 to 60 mins</v>
      </c>
      <c r="K648">
        <f>ROUND(calls[[#This Row],[Satisfaction Rating]],0)</f>
        <v>5</v>
      </c>
    </row>
    <row r="649" spans="1:11" ht="13.8" x14ac:dyDescent="0.25">
      <c r="A649" t="s">
        <v>678</v>
      </c>
      <c r="B649" t="s">
        <v>64</v>
      </c>
      <c r="C649">
        <v>33</v>
      </c>
      <c r="D649" s="4" t="s">
        <v>23</v>
      </c>
      <c r="E649" s="5">
        <v>45138</v>
      </c>
      <c r="F649">
        <v>92</v>
      </c>
      <c r="G649">
        <v>1.7</v>
      </c>
      <c r="H649">
        <f>IF(MONTH(calls[[#This Row],[Date of Call]])&lt;=6, YEAR(calls[[#This Row],[Date of Call]]), YEAR(calls[[#This Row],[Date of Call]])+1)</f>
        <v>2024</v>
      </c>
      <c r="I649" t="str">
        <f>TEXT(calls[[#This Row],[Date of Call]],"DDDD")</f>
        <v>Monday</v>
      </c>
      <c r="J649" t="str">
        <f t="array" ref="J649">_xlfn.IFS(calls[[#This Row],[Duration]]&lt;=10,"Under 10 mins", calls[[#This Row],[Duration]]&lt;=30, "10 to 30 mins", calls[[#This Row],[Duration]]&lt;=60, "30 to 60 mins", calls[[#This Row],[Duration]]&lt;=120, "1 to 2 hours", TRUE, "More than 2 hours")</f>
        <v>30 to 60 mins</v>
      </c>
      <c r="K649">
        <f>ROUND(calls[[#This Row],[Satisfaction Rating]],0)</f>
        <v>2</v>
      </c>
    </row>
    <row r="650" spans="1:11" ht="13.8" x14ac:dyDescent="0.25">
      <c r="A650" t="s">
        <v>679</v>
      </c>
      <c r="B650" t="s">
        <v>84</v>
      </c>
      <c r="C650">
        <v>164</v>
      </c>
      <c r="D650" s="4" t="s">
        <v>13</v>
      </c>
      <c r="E650" s="5">
        <v>45138</v>
      </c>
      <c r="F650">
        <v>36</v>
      </c>
      <c r="G650">
        <v>4.7</v>
      </c>
      <c r="H650">
        <f>IF(MONTH(calls[[#This Row],[Date of Call]])&lt;=6, YEAR(calls[[#This Row],[Date of Call]]), YEAR(calls[[#This Row],[Date of Call]])+1)</f>
        <v>2024</v>
      </c>
      <c r="I650" t="str">
        <f>TEXT(calls[[#This Row],[Date of Call]],"DDDD")</f>
        <v>Monday</v>
      </c>
      <c r="J650" t="str">
        <f t="array" ref="J650">_xlfn.IFS(calls[[#This Row],[Duration]]&lt;=10,"Under 10 mins", calls[[#This Row],[Duration]]&lt;=30, "10 to 30 mins", calls[[#This Row],[Duration]]&lt;=60, "30 to 60 mins", calls[[#This Row],[Duration]]&lt;=120, "1 to 2 hours", TRUE, "More than 2 hours")</f>
        <v>More than 2 hours</v>
      </c>
      <c r="K650">
        <f>ROUND(calls[[#This Row],[Satisfaction Rating]],0)</f>
        <v>5</v>
      </c>
    </row>
    <row r="651" spans="1:11" ht="13.8" x14ac:dyDescent="0.25">
      <c r="A651" t="s">
        <v>680</v>
      </c>
      <c r="B651" t="s">
        <v>54</v>
      </c>
      <c r="C651">
        <v>163</v>
      </c>
      <c r="D651" s="4" t="s">
        <v>18</v>
      </c>
      <c r="E651" s="5">
        <v>45138</v>
      </c>
      <c r="F651">
        <v>76</v>
      </c>
      <c r="G651">
        <v>4.4000000000000004</v>
      </c>
      <c r="H651">
        <f>IF(MONTH(calls[[#This Row],[Date of Call]])&lt;=6, YEAR(calls[[#This Row],[Date of Call]]), YEAR(calls[[#This Row],[Date of Call]])+1)</f>
        <v>2024</v>
      </c>
      <c r="I651" t="str">
        <f>TEXT(calls[[#This Row],[Date of Call]],"DDDD")</f>
        <v>Monday</v>
      </c>
      <c r="J651" t="str">
        <f t="array" ref="J651">_xlfn.IFS(calls[[#This Row],[Duration]]&lt;=10,"Under 10 mins", calls[[#This Row],[Duration]]&lt;=30, "10 to 30 mins", calls[[#This Row],[Duration]]&lt;=60, "30 to 60 mins", calls[[#This Row],[Duration]]&lt;=120, "1 to 2 hours", TRUE, "More than 2 hours")</f>
        <v>More than 2 hours</v>
      </c>
      <c r="K651">
        <f>ROUND(calls[[#This Row],[Satisfaction Rating]],0)</f>
        <v>4</v>
      </c>
    </row>
    <row r="652" spans="1:11" ht="13.8" x14ac:dyDescent="0.25">
      <c r="A652" t="s">
        <v>681</v>
      </c>
      <c r="B652" t="s">
        <v>26</v>
      </c>
      <c r="C652">
        <v>71</v>
      </c>
      <c r="D652" s="4" t="s">
        <v>13</v>
      </c>
      <c r="E652" s="5">
        <v>45140</v>
      </c>
      <c r="F652">
        <v>170</v>
      </c>
      <c r="G652">
        <v>3.5</v>
      </c>
      <c r="H652">
        <f>IF(MONTH(calls[[#This Row],[Date of Call]])&lt;=6, YEAR(calls[[#This Row],[Date of Call]]), YEAR(calls[[#This Row],[Date of Call]])+1)</f>
        <v>2024</v>
      </c>
      <c r="I652" t="str">
        <f>TEXT(calls[[#This Row],[Date of Call]],"DDDD")</f>
        <v>Wednesday</v>
      </c>
      <c r="J652" t="str">
        <f t="array" ref="J652">_xlfn.IFS(calls[[#This Row],[Duration]]&lt;=10,"Under 10 mins", calls[[#This Row],[Duration]]&lt;=30, "10 to 30 mins", calls[[#This Row],[Duration]]&lt;=60, "30 to 60 mins", calls[[#This Row],[Duration]]&lt;=120, "1 to 2 hours", TRUE, "More than 2 hours")</f>
        <v>1 to 2 hours</v>
      </c>
      <c r="K652">
        <f>ROUND(calls[[#This Row],[Satisfaction Rating]],0)</f>
        <v>4</v>
      </c>
    </row>
    <row r="653" spans="1:11" ht="13.8" x14ac:dyDescent="0.25">
      <c r="A653" t="s">
        <v>682</v>
      </c>
      <c r="B653" t="s">
        <v>64</v>
      </c>
      <c r="C653">
        <v>103</v>
      </c>
      <c r="D653" s="4" t="s">
        <v>32</v>
      </c>
      <c r="E653" s="5">
        <v>45141</v>
      </c>
      <c r="F653">
        <v>117</v>
      </c>
      <c r="G653">
        <v>4.7</v>
      </c>
      <c r="H653">
        <f>IF(MONTH(calls[[#This Row],[Date of Call]])&lt;=6, YEAR(calls[[#This Row],[Date of Call]]), YEAR(calls[[#This Row],[Date of Call]])+1)</f>
        <v>2024</v>
      </c>
      <c r="I653" t="str">
        <f>TEXT(calls[[#This Row],[Date of Call]],"DDDD")</f>
        <v>Thursday</v>
      </c>
      <c r="J653" t="str">
        <f t="array" ref="J653">_xlfn.IFS(calls[[#This Row],[Duration]]&lt;=10,"Under 10 mins", calls[[#This Row],[Duration]]&lt;=30, "10 to 30 mins", calls[[#This Row],[Duration]]&lt;=60, "30 to 60 mins", calls[[#This Row],[Duration]]&lt;=120, "1 to 2 hours", TRUE, "More than 2 hours")</f>
        <v>1 to 2 hours</v>
      </c>
      <c r="K653">
        <f>ROUND(calls[[#This Row],[Satisfaction Rating]],0)</f>
        <v>5</v>
      </c>
    </row>
    <row r="654" spans="1:11" ht="13.8" x14ac:dyDescent="0.25">
      <c r="A654" t="s">
        <v>683</v>
      </c>
      <c r="B654" t="s">
        <v>46</v>
      </c>
      <c r="C654">
        <v>69</v>
      </c>
      <c r="D654" s="4" t="s">
        <v>18</v>
      </c>
      <c r="E654" s="5">
        <v>45141</v>
      </c>
      <c r="F654">
        <v>20</v>
      </c>
      <c r="G654">
        <v>4.3</v>
      </c>
      <c r="H654">
        <f>IF(MONTH(calls[[#This Row],[Date of Call]])&lt;=6, YEAR(calls[[#This Row],[Date of Call]]), YEAR(calls[[#This Row],[Date of Call]])+1)</f>
        <v>2024</v>
      </c>
      <c r="I654" t="str">
        <f>TEXT(calls[[#This Row],[Date of Call]],"DDDD")</f>
        <v>Thursday</v>
      </c>
      <c r="J654" t="str">
        <f t="array" ref="J654">_xlfn.IFS(calls[[#This Row],[Duration]]&lt;=10,"Under 10 mins", calls[[#This Row],[Duration]]&lt;=30, "10 to 30 mins", calls[[#This Row],[Duration]]&lt;=60, "30 to 60 mins", calls[[#This Row],[Duration]]&lt;=120, "1 to 2 hours", TRUE, "More than 2 hours")</f>
        <v>1 to 2 hours</v>
      </c>
      <c r="K654">
        <f>ROUND(calls[[#This Row],[Satisfaction Rating]],0)</f>
        <v>4</v>
      </c>
    </row>
    <row r="655" spans="1:11" ht="13.8" x14ac:dyDescent="0.25">
      <c r="A655" t="s">
        <v>684</v>
      </c>
      <c r="B655" t="s">
        <v>54</v>
      </c>
      <c r="C655">
        <v>111</v>
      </c>
      <c r="D655" s="4" t="s">
        <v>32</v>
      </c>
      <c r="E655" s="5">
        <v>45141</v>
      </c>
      <c r="F655">
        <v>99</v>
      </c>
      <c r="G655">
        <v>4.0999999999999996</v>
      </c>
      <c r="H655">
        <f>IF(MONTH(calls[[#This Row],[Date of Call]])&lt;=6, YEAR(calls[[#This Row],[Date of Call]]), YEAR(calls[[#This Row],[Date of Call]])+1)</f>
        <v>2024</v>
      </c>
      <c r="I655" t="str">
        <f>TEXT(calls[[#This Row],[Date of Call]],"DDDD")</f>
        <v>Thursday</v>
      </c>
      <c r="J655" t="str">
        <f t="array" ref="J655">_xlfn.IFS(calls[[#This Row],[Duration]]&lt;=10,"Under 10 mins", calls[[#This Row],[Duration]]&lt;=30, "10 to 30 mins", calls[[#This Row],[Duration]]&lt;=60, "30 to 60 mins", calls[[#This Row],[Duration]]&lt;=120, "1 to 2 hours", TRUE, "More than 2 hours")</f>
        <v>1 to 2 hours</v>
      </c>
      <c r="K655">
        <f>ROUND(calls[[#This Row],[Satisfaction Rating]],0)</f>
        <v>4</v>
      </c>
    </row>
    <row r="656" spans="1:11" ht="13.8" x14ac:dyDescent="0.25">
      <c r="A656" t="s">
        <v>685</v>
      </c>
      <c r="B656" t="s">
        <v>31</v>
      </c>
      <c r="C656">
        <v>97</v>
      </c>
      <c r="D656" s="4" t="s">
        <v>18</v>
      </c>
      <c r="E656" s="5">
        <v>45142</v>
      </c>
      <c r="F656">
        <v>105</v>
      </c>
      <c r="G656">
        <v>2.9</v>
      </c>
      <c r="H656">
        <f>IF(MONTH(calls[[#This Row],[Date of Call]])&lt;=6, YEAR(calls[[#This Row],[Date of Call]]), YEAR(calls[[#This Row],[Date of Call]])+1)</f>
        <v>2024</v>
      </c>
      <c r="I656" t="str">
        <f>TEXT(calls[[#This Row],[Date of Call]],"DDDD")</f>
        <v>Friday</v>
      </c>
      <c r="J656" t="str">
        <f t="array" ref="J656">_xlfn.IFS(calls[[#This Row],[Duration]]&lt;=10,"Under 10 mins", calls[[#This Row],[Duration]]&lt;=30, "10 to 30 mins", calls[[#This Row],[Duration]]&lt;=60, "30 to 60 mins", calls[[#This Row],[Duration]]&lt;=120, "1 to 2 hours", TRUE, "More than 2 hours")</f>
        <v>1 to 2 hours</v>
      </c>
      <c r="K656">
        <f>ROUND(calls[[#This Row],[Satisfaction Rating]],0)</f>
        <v>3</v>
      </c>
    </row>
    <row r="657" spans="1:11" ht="13.8" x14ac:dyDescent="0.25">
      <c r="A657" t="s">
        <v>686</v>
      </c>
      <c r="B657" t="s">
        <v>35</v>
      </c>
      <c r="C657">
        <v>144</v>
      </c>
      <c r="D657" s="4" t="s">
        <v>28</v>
      </c>
      <c r="E657" s="5">
        <v>45142</v>
      </c>
      <c r="F657">
        <v>195</v>
      </c>
      <c r="G657">
        <v>3.4</v>
      </c>
      <c r="H657">
        <f>IF(MONTH(calls[[#This Row],[Date of Call]])&lt;=6, YEAR(calls[[#This Row],[Date of Call]]), YEAR(calls[[#This Row],[Date of Call]])+1)</f>
        <v>2024</v>
      </c>
      <c r="I657" t="str">
        <f>TEXT(calls[[#This Row],[Date of Call]],"DDDD")</f>
        <v>Friday</v>
      </c>
      <c r="J657" t="str">
        <f t="array" ref="J657">_xlfn.IFS(calls[[#This Row],[Duration]]&lt;=10,"Under 10 mins", calls[[#This Row],[Duration]]&lt;=30, "10 to 30 mins", calls[[#This Row],[Duration]]&lt;=60, "30 to 60 mins", calls[[#This Row],[Duration]]&lt;=120, "1 to 2 hours", TRUE, "More than 2 hours")</f>
        <v>More than 2 hours</v>
      </c>
      <c r="K657">
        <f>ROUND(calls[[#This Row],[Satisfaction Rating]],0)</f>
        <v>3</v>
      </c>
    </row>
    <row r="658" spans="1:11" ht="13.8" x14ac:dyDescent="0.25">
      <c r="A658" t="s">
        <v>687</v>
      </c>
      <c r="B658" t="s">
        <v>17</v>
      </c>
      <c r="C658">
        <v>56</v>
      </c>
      <c r="D658" s="4" t="s">
        <v>18</v>
      </c>
      <c r="E658" s="5">
        <v>45143</v>
      </c>
      <c r="F658">
        <v>152</v>
      </c>
      <c r="G658">
        <v>4.5999999999999996</v>
      </c>
      <c r="H658">
        <f>IF(MONTH(calls[[#This Row],[Date of Call]])&lt;=6, YEAR(calls[[#This Row],[Date of Call]]), YEAR(calls[[#This Row],[Date of Call]])+1)</f>
        <v>2024</v>
      </c>
      <c r="I658" t="str">
        <f>TEXT(calls[[#This Row],[Date of Call]],"DDDD")</f>
        <v>Saturday</v>
      </c>
      <c r="J658" t="str">
        <f t="array" ref="J658">_xlfn.IFS(calls[[#This Row],[Duration]]&lt;=10,"Under 10 mins", calls[[#This Row],[Duration]]&lt;=30, "10 to 30 mins", calls[[#This Row],[Duration]]&lt;=60, "30 to 60 mins", calls[[#This Row],[Duration]]&lt;=120, "1 to 2 hours", TRUE, "More than 2 hours")</f>
        <v>30 to 60 mins</v>
      </c>
      <c r="K658">
        <f>ROUND(calls[[#This Row],[Satisfaction Rating]],0)</f>
        <v>5</v>
      </c>
    </row>
    <row r="659" spans="1:11" ht="13.8" x14ac:dyDescent="0.25">
      <c r="A659" t="s">
        <v>688</v>
      </c>
      <c r="B659" t="s">
        <v>35</v>
      </c>
      <c r="C659">
        <v>132</v>
      </c>
      <c r="D659" s="4" t="s">
        <v>28</v>
      </c>
      <c r="E659" s="5">
        <v>45144</v>
      </c>
      <c r="F659">
        <v>195</v>
      </c>
      <c r="G659">
        <v>4.9000000000000004</v>
      </c>
      <c r="H659">
        <f>IF(MONTH(calls[[#This Row],[Date of Call]])&lt;=6, YEAR(calls[[#This Row],[Date of Call]]), YEAR(calls[[#This Row],[Date of Call]])+1)</f>
        <v>2024</v>
      </c>
      <c r="I659" t="str">
        <f>TEXT(calls[[#This Row],[Date of Call]],"DDDD")</f>
        <v>Sunday</v>
      </c>
      <c r="J659" t="str">
        <f t="array" ref="J659">_xlfn.IFS(calls[[#This Row],[Duration]]&lt;=10,"Under 10 mins", calls[[#This Row],[Duration]]&lt;=30, "10 to 30 mins", calls[[#This Row],[Duration]]&lt;=60, "30 to 60 mins", calls[[#This Row],[Duration]]&lt;=120, "1 to 2 hours", TRUE, "More than 2 hours")</f>
        <v>More than 2 hours</v>
      </c>
      <c r="K659">
        <f>ROUND(calls[[#This Row],[Satisfaction Rating]],0)</f>
        <v>5</v>
      </c>
    </row>
    <row r="660" spans="1:11" ht="13.8" x14ac:dyDescent="0.25">
      <c r="A660" t="s">
        <v>689</v>
      </c>
      <c r="B660" t="s">
        <v>26</v>
      </c>
      <c r="C660">
        <v>72</v>
      </c>
      <c r="D660" s="4" t="s">
        <v>23</v>
      </c>
      <c r="E660" s="5">
        <v>45144</v>
      </c>
      <c r="F660">
        <v>70</v>
      </c>
      <c r="G660">
        <v>3.6</v>
      </c>
      <c r="H660">
        <f>IF(MONTH(calls[[#This Row],[Date of Call]])&lt;=6, YEAR(calls[[#This Row],[Date of Call]]), YEAR(calls[[#This Row],[Date of Call]])+1)</f>
        <v>2024</v>
      </c>
      <c r="I660" t="str">
        <f>TEXT(calls[[#This Row],[Date of Call]],"DDDD")</f>
        <v>Sunday</v>
      </c>
      <c r="J660" t="str">
        <f t="array" ref="J660">_xlfn.IFS(calls[[#This Row],[Duration]]&lt;=10,"Under 10 mins", calls[[#This Row],[Duration]]&lt;=30, "10 to 30 mins", calls[[#This Row],[Duration]]&lt;=60, "30 to 60 mins", calls[[#This Row],[Duration]]&lt;=120, "1 to 2 hours", TRUE, "More than 2 hours")</f>
        <v>1 to 2 hours</v>
      </c>
      <c r="K660">
        <f>ROUND(calls[[#This Row],[Satisfaction Rating]],0)</f>
        <v>4</v>
      </c>
    </row>
    <row r="661" spans="1:11" ht="13.8" x14ac:dyDescent="0.25">
      <c r="A661" t="s">
        <v>690</v>
      </c>
      <c r="B661" t="s">
        <v>54</v>
      </c>
      <c r="C661">
        <v>18</v>
      </c>
      <c r="D661" s="4" t="s">
        <v>23</v>
      </c>
      <c r="E661" s="5">
        <v>45144</v>
      </c>
      <c r="F661">
        <v>22</v>
      </c>
      <c r="G661">
        <v>3.5</v>
      </c>
      <c r="H661">
        <f>IF(MONTH(calls[[#This Row],[Date of Call]])&lt;=6, YEAR(calls[[#This Row],[Date of Call]]), YEAR(calls[[#This Row],[Date of Call]])+1)</f>
        <v>2024</v>
      </c>
      <c r="I661" t="str">
        <f>TEXT(calls[[#This Row],[Date of Call]],"DDDD")</f>
        <v>Sunday</v>
      </c>
      <c r="J661" t="str">
        <f t="array" ref="J661">_xlfn.IFS(calls[[#This Row],[Duration]]&lt;=10,"Under 10 mins", calls[[#This Row],[Duration]]&lt;=30, "10 to 30 mins", calls[[#This Row],[Duration]]&lt;=60, "30 to 60 mins", calls[[#This Row],[Duration]]&lt;=120, "1 to 2 hours", TRUE, "More than 2 hours")</f>
        <v>10 to 30 mins</v>
      </c>
      <c r="K661">
        <f>ROUND(calls[[#This Row],[Satisfaction Rating]],0)</f>
        <v>4</v>
      </c>
    </row>
    <row r="662" spans="1:11" ht="13.8" x14ac:dyDescent="0.25">
      <c r="A662" t="s">
        <v>691</v>
      </c>
      <c r="B662" t="s">
        <v>22</v>
      </c>
      <c r="C662">
        <v>115</v>
      </c>
      <c r="D662" s="4" t="s">
        <v>32</v>
      </c>
      <c r="E662" s="5">
        <v>45145</v>
      </c>
      <c r="F662">
        <v>40</v>
      </c>
      <c r="G662">
        <v>3.3</v>
      </c>
      <c r="H662">
        <f>IF(MONTH(calls[[#This Row],[Date of Call]])&lt;=6, YEAR(calls[[#This Row],[Date of Call]]), YEAR(calls[[#This Row],[Date of Call]])+1)</f>
        <v>2024</v>
      </c>
      <c r="I662" t="str">
        <f>TEXT(calls[[#This Row],[Date of Call]],"DDDD")</f>
        <v>Monday</v>
      </c>
      <c r="J662" t="str">
        <f t="array" ref="J662">_xlfn.IFS(calls[[#This Row],[Duration]]&lt;=10,"Under 10 mins", calls[[#This Row],[Duration]]&lt;=30, "10 to 30 mins", calls[[#This Row],[Duration]]&lt;=60, "30 to 60 mins", calls[[#This Row],[Duration]]&lt;=120, "1 to 2 hours", TRUE, "More than 2 hours")</f>
        <v>1 to 2 hours</v>
      </c>
      <c r="K662">
        <f>ROUND(calls[[#This Row],[Satisfaction Rating]],0)</f>
        <v>3</v>
      </c>
    </row>
    <row r="663" spans="1:11" ht="13.8" x14ac:dyDescent="0.25">
      <c r="A663" t="s">
        <v>692</v>
      </c>
      <c r="B663" t="s">
        <v>22</v>
      </c>
      <c r="C663">
        <v>124</v>
      </c>
      <c r="D663" s="4" t="s">
        <v>18</v>
      </c>
      <c r="E663" s="5">
        <v>45146</v>
      </c>
      <c r="F663">
        <v>54</v>
      </c>
      <c r="G663">
        <v>3.8</v>
      </c>
      <c r="H663">
        <f>IF(MONTH(calls[[#This Row],[Date of Call]])&lt;=6, YEAR(calls[[#This Row],[Date of Call]]), YEAR(calls[[#This Row],[Date of Call]])+1)</f>
        <v>2024</v>
      </c>
      <c r="I663" t="str">
        <f>TEXT(calls[[#This Row],[Date of Call]],"DDDD")</f>
        <v>Tuesday</v>
      </c>
      <c r="J663" t="str">
        <f t="array" ref="J663">_xlfn.IFS(calls[[#This Row],[Duration]]&lt;=10,"Under 10 mins", calls[[#This Row],[Duration]]&lt;=30, "10 to 30 mins", calls[[#This Row],[Duration]]&lt;=60, "30 to 60 mins", calls[[#This Row],[Duration]]&lt;=120, "1 to 2 hours", TRUE, "More than 2 hours")</f>
        <v>More than 2 hours</v>
      </c>
      <c r="K663">
        <f>ROUND(calls[[#This Row],[Satisfaction Rating]],0)</f>
        <v>4</v>
      </c>
    </row>
    <row r="664" spans="1:11" ht="13.8" x14ac:dyDescent="0.25">
      <c r="A664" t="s">
        <v>693</v>
      </c>
      <c r="B664" t="s">
        <v>15</v>
      </c>
      <c r="C664">
        <v>130</v>
      </c>
      <c r="D664" s="4" t="s">
        <v>18</v>
      </c>
      <c r="E664" s="5">
        <v>45146</v>
      </c>
      <c r="F664">
        <v>60</v>
      </c>
      <c r="G664">
        <v>2.5</v>
      </c>
      <c r="H664">
        <f>IF(MONTH(calls[[#This Row],[Date of Call]])&lt;=6, YEAR(calls[[#This Row],[Date of Call]]), YEAR(calls[[#This Row],[Date of Call]])+1)</f>
        <v>2024</v>
      </c>
      <c r="I664" t="str">
        <f>TEXT(calls[[#This Row],[Date of Call]],"DDDD")</f>
        <v>Tuesday</v>
      </c>
      <c r="J664" t="str">
        <f t="array" ref="J664">_xlfn.IFS(calls[[#This Row],[Duration]]&lt;=10,"Under 10 mins", calls[[#This Row],[Duration]]&lt;=30, "10 to 30 mins", calls[[#This Row],[Duration]]&lt;=60, "30 to 60 mins", calls[[#This Row],[Duration]]&lt;=120, "1 to 2 hours", TRUE, "More than 2 hours")</f>
        <v>More than 2 hours</v>
      </c>
      <c r="K664">
        <f>ROUND(calls[[#This Row],[Satisfaction Rating]],0)</f>
        <v>3</v>
      </c>
    </row>
    <row r="665" spans="1:11" ht="13.8" x14ac:dyDescent="0.25">
      <c r="A665" t="s">
        <v>694</v>
      </c>
      <c r="B665" t="s">
        <v>51</v>
      </c>
      <c r="C665">
        <v>120</v>
      </c>
      <c r="D665" s="4" t="s">
        <v>13</v>
      </c>
      <c r="E665" s="5">
        <v>45148</v>
      </c>
      <c r="F665">
        <v>58</v>
      </c>
      <c r="G665">
        <v>4.5999999999999996</v>
      </c>
      <c r="H665">
        <f>IF(MONTH(calls[[#This Row],[Date of Call]])&lt;=6, YEAR(calls[[#This Row],[Date of Call]]), YEAR(calls[[#This Row],[Date of Call]])+1)</f>
        <v>2024</v>
      </c>
      <c r="I665" t="str">
        <f>TEXT(calls[[#This Row],[Date of Call]],"DDDD")</f>
        <v>Thursday</v>
      </c>
      <c r="J665" t="str">
        <f t="array" ref="J665">_xlfn.IFS(calls[[#This Row],[Duration]]&lt;=10,"Under 10 mins", calls[[#This Row],[Duration]]&lt;=30, "10 to 30 mins", calls[[#This Row],[Duration]]&lt;=60, "30 to 60 mins", calls[[#This Row],[Duration]]&lt;=120, "1 to 2 hours", TRUE, "More than 2 hours")</f>
        <v>1 to 2 hours</v>
      </c>
      <c r="K665">
        <f>ROUND(calls[[#This Row],[Satisfaction Rating]],0)</f>
        <v>5</v>
      </c>
    </row>
    <row r="666" spans="1:11" ht="13.8" x14ac:dyDescent="0.25">
      <c r="A666" t="s">
        <v>695</v>
      </c>
      <c r="B666" t="s">
        <v>31</v>
      </c>
      <c r="C666">
        <v>75</v>
      </c>
      <c r="D666" s="4" t="s">
        <v>32</v>
      </c>
      <c r="E666" s="5">
        <v>45148</v>
      </c>
      <c r="F666">
        <v>220</v>
      </c>
      <c r="G666">
        <v>4.7</v>
      </c>
      <c r="H666">
        <f>IF(MONTH(calls[[#This Row],[Date of Call]])&lt;=6, YEAR(calls[[#This Row],[Date of Call]]), YEAR(calls[[#This Row],[Date of Call]])+1)</f>
        <v>2024</v>
      </c>
      <c r="I666" t="str">
        <f>TEXT(calls[[#This Row],[Date of Call]],"DDDD")</f>
        <v>Thursday</v>
      </c>
      <c r="J666" t="str">
        <f t="array" ref="J666">_xlfn.IFS(calls[[#This Row],[Duration]]&lt;=10,"Under 10 mins", calls[[#This Row],[Duration]]&lt;=30, "10 to 30 mins", calls[[#This Row],[Duration]]&lt;=60, "30 to 60 mins", calls[[#This Row],[Duration]]&lt;=120, "1 to 2 hours", TRUE, "More than 2 hours")</f>
        <v>1 to 2 hours</v>
      </c>
      <c r="K666">
        <f>ROUND(calls[[#This Row],[Satisfaction Rating]],0)</f>
        <v>5</v>
      </c>
    </row>
    <row r="667" spans="1:11" ht="13.8" x14ac:dyDescent="0.25">
      <c r="A667" t="s">
        <v>696</v>
      </c>
      <c r="B667" t="s">
        <v>12</v>
      </c>
      <c r="C667">
        <v>63</v>
      </c>
      <c r="D667" s="4" t="s">
        <v>32</v>
      </c>
      <c r="E667" s="5">
        <v>45148</v>
      </c>
      <c r="F667">
        <v>27</v>
      </c>
      <c r="G667">
        <v>3.6</v>
      </c>
      <c r="H667">
        <f>IF(MONTH(calls[[#This Row],[Date of Call]])&lt;=6, YEAR(calls[[#This Row],[Date of Call]]), YEAR(calls[[#This Row],[Date of Call]])+1)</f>
        <v>2024</v>
      </c>
      <c r="I667" t="str">
        <f>TEXT(calls[[#This Row],[Date of Call]],"DDDD")</f>
        <v>Thursday</v>
      </c>
      <c r="J667" t="str">
        <f t="array" ref="J667">_xlfn.IFS(calls[[#This Row],[Duration]]&lt;=10,"Under 10 mins", calls[[#This Row],[Duration]]&lt;=30, "10 to 30 mins", calls[[#This Row],[Duration]]&lt;=60, "30 to 60 mins", calls[[#This Row],[Duration]]&lt;=120, "1 to 2 hours", TRUE, "More than 2 hours")</f>
        <v>1 to 2 hours</v>
      </c>
      <c r="K667">
        <f>ROUND(calls[[#This Row],[Satisfaction Rating]],0)</f>
        <v>4</v>
      </c>
    </row>
    <row r="668" spans="1:11" ht="13.8" x14ac:dyDescent="0.25">
      <c r="A668" t="s">
        <v>697</v>
      </c>
      <c r="B668" t="s">
        <v>35</v>
      </c>
      <c r="C668">
        <v>74</v>
      </c>
      <c r="D668" s="4" t="s">
        <v>32</v>
      </c>
      <c r="E668" s="5">
        <v>45150</v>
      </c>
      <c r="F668">
        <v>26</v>
      </c>
      <c r="G668">
        <v>4.3</v>
      </c>
      <c r="H668">
        <f>IF(MONTH(calls[[#This Row],[Date of Call]])&lt;=6, YEAR(calls[[#This Row],[Date of Call]]), YEAR(calls[[#This Row],[Date of Call]])+1)</f>
        <v>2024</v>
      </c>
      <c r="I668" t="str">
        <f>TEXT(calls[[#This Row],[Date of Call]],"DDDD")</f>
        <v>Saturday</v>
      </c>
      <c r="J668" t="str">
        <f t="array" ref="J668">_xlfn.IFS(calls[[#This Row],[Duration]]&lt;=10,"Under 10 mins", calls[[#This Row],[Duration]]&lt;=30, "10 to 30 mins", calls[[#This Row],[Duration]]&lt;=60, "30 to 60 mins", calls[[#This Row],[Duration]]&lt;=120, "1 to 2 hours", TRUE, "More than 2 hours")</f>
        <v>1 to 2 hours</v>
      </c>
      <c r="K668">
        <f>ROUND(calls[[#This Row],[Satisfaction Rating]],0)</f>
        <v>4</v>
      </c>
    </row>
    <row r="669" spans="1:11" ht="13.8" x14ac:dyDescent="0.25">
      <c r="A669" t="s">
        <v>698</v>
      </c>
      <c r="B669" t="s">
        <v>46</v>
      </c>
      <c r="C669">
        <v>134</v>
      </c>
      <c r="D669" s="4" t="s">
        <v>28</v>
      </c>
      <c r="E669" s="5">
        <v>45151</v>
      </c>
      <c r="F669">
        <v>160</v>
      </c>
      <c r="G669">
        <v>4.7</v>
      </c>
      <c r="H669">
        <f>IF(MONTH(calls[[#This Row],[Date of Call]])&lt;=6, YEAR(calls[[#This Row],[Date of Call]]), YEAR(calls[[#This Row],[Date of Call]])+1)</f>
        <v>2024</v>
      </c>
      <c r="I669" t="str">
        <f>TEXT(calls[[#This Row],[Date of Call]],"DDDD")</f>
        <v>Sunday</v>
      </c>
      <c r="J669" t="str">
        <f t="array" ref="J669">_xlfn.IFS(calls[[#This Row],[Duration]]&lt;=10,"Under 10 mins", calls[[#This Row],[Duration]]&lt;=30, "10 to 30 mins", calls[[#This Row],[Duration]]&lt;=60, "30 to 60 mins", calls[[#This Row],[Duration]]&lt;=120, "1 to 2 hours", TRUE, "More than 2 hours")</f>
        <v>More than 2 hours</v>
      </c>
      <c r="K669">
        <f>ROUND(calls[[#This Row],[Satisfaction Rating]],0)</f>
        <v>5</v>
      </c>
    </row>
    <row r="670" spans="1:11" ht="13.8" x14ac:dyDescent="0.25">
      <c r="A670" t="s">
        <v>699</v>
      </c>
      <c r="B670" t="s">
        <v>54</v>
      </c>
      <c r="C670">
        <v>103</v>
      </c>
      <c r="D670" s="4" t="s">
        <v>18</v>
      </c>
      <c r="E670" s="5">
        <v>45151</v>
      </c>
      <c r="F670">
        <v>200</v>
      </c>
      <c r="G670">
        <v>4.9000000000000004</v>
      </c>
      <c r="H670">
        <f>IF(MONTH(calls[[#This Row],[Date of Call]])&lt;=6, YEAR(calls[[#This Row],[Date of Call]]), YEAR(calls[[#This Row],[Date of Call]])+1)</f>
        <v>2024</v>
      </c>
      <c r="I670" t="str">
        <f>TEXT(calls[[#This Row],[Date of Call]],"DDDD")</f>
        <v>Sunday</v>
      </c>
      <c r="J670" t="str">
        <f t="array" ref="J670">_xlfn.IFS(calls[[#This Row],[Duration]]&lt;=10,"Under 10 mins", calls[[#This Row],[Duration]]&lt;=30, "10 to 30 mins", calls[[#This Row],[Duration]]&lt;=60, "30 to 60 mins", calls[[#This Row],[Duration]]&lt;=120, "1 to 2 hours", TRUE, "More than 2 hours")</f>
        <v>1 to 2 hours</v>
      </c>
      <c r="K670">
        <f>ROUND(calls[[#This Row],[Satisfaction Rating]],0)</f>
        <v>5</v>
      </c>
    </row>
    <row r="671" spans="1:11" ht="13.8" x14ac:dyDescent="0.25">
      <c r="A671" t="s">
        <v>700</v>
      </c>
      <c r="B671" t="s">
        <v>54</v>
      </c>
      <c r="C671">
        <v>155</v>
      </c>
      <c r="D671" s="4" t="s">
        <v>13</v>
      </c>
      <c r="E671" s="5">
        <v>45154</v>
      </c>
      <c r="F671">
        <v>135</v>
      </c>
      <c r="G671">
        <v>4.9000000000000004</v>
      </c>
      <c r="H671">
        <f>IF(MONTH(calls[[#This Row],[Date of Call]])&lt;=6, YEAR(calls[[#This Row],[Date of Call]]), YEAR(calls[[#This Row],[Date of Call]])+1)</f>
        <v>2024</v>
      </c>
      <c r="I671" t="str">
        <f>TEXT(calls[[#This Row],[Date of Call]],"DDDD")</f>
        <v>Wednesday</v>
      </c>
      <c r="J671" t="str">
        <f t="array" ref="J671">_xlfn.IFS(calls[[#This Row],[Duration]]&lt;=10,"Under 10 mins", calls[[#This Row],[Duration]]&lt;=30, "10 to 30 mins", calls[[#This Row],[Duration]]&lt;=60, "30 to 60 mins", calls[[#This Row],[Duration]]&lt;=120, "1 to 2 hours", TRUE, "More than 2 hours")</f>
        <v>More than 2 hours</v>
      </c>
      <c r="K671">
        <f>ROUND(calls[[#This Row],[Satisfaction Rating]],0)</f>
        <v>5</v>
      </c>
    </row>
    <row r="672" spans="1:11" ht="13.8" x14ac:dyDescent="0.25">
      <c r="A672" t="s">
        <v>701</v>
      </c>
      <c r="B672" t="s">
        <v>12</v>
      </c>
      <c r="C672">
        <v>128</v>
      </c>
      <c r="D672" s="4" t="s">
        <v>18</v>
      </c>
      <c r="E672" s="5">
        <v>45155</v>
      </c>
      <c r="F672">
        <v>22</v>
      </c>
      <c r="G672">
        <v>1.9</v>
      </c>
      <c r="H672">
        <f>IF(MONTH(calls[[#This Row],[Date of Call]])&lt;=6, YEAR(calls[[#This Row],[Date of Call]]), YEAR(calls[[#This Row],[Date of Call]])+1)</f>
        <v>2024</v>
      </c>
      <c r="I672" t="str">
        <f>TEXT(calls[[#This Row],[Date of Call]],"DDDD")</f>
        <v>Thursday</v>
      </c>
      <c r="J672" t="str">
        <f t="array" ref="J672">_xlfn.IFS(calls[[#This Row],[Duration]]&lt;=10,"Under 10 mins", calls[[#This Row],[Duration]]&lt;=30, "10 to 30 mins", calls[[#This Row],[Duration]]&lt;=60, "30 to 60 mins", calls[[#This Row],[Duration]]&lt;=120, "1 to 2 hours", TRUE, "More than 2 hours")</f>
        <v>More than 2 hours</v>
      </c>
      <c r="K672">
        <f>ROUND(calls[[#This Row],[Satisfaction Rating]],0)</f>
        <v>2</v>
      </c>
    </row>
    <row r="673" spans="1:11" ht="13.8" x14ac:dyDescent="0.25">
      <c r="A673" t="s">
        <v>702</v>
      </c>
      <c r="B673" t="s">
        <v>31</v>
      </c>
      <c r="C673">
        <v>89</v>
      </c>
      <c r="D673" s="4" t="s">
        <v>28</v>
      </c>
      <c r="E673" s="5">
        <v>45156</v>
      </c>
      <c r="F673">
        <v>164</v>
      </c>
      <c r="G673">
        <v>4.5</v>
      </c>
      <c r="H673">
        <f>IF(MONTH(calls[[#This Row],[Date of Call]])&lt;=6, YEAR(calls[[#This Row],[Date of Call]]), YEAR(calls[[#This Row],[Date of Call]])+1)</f>
        <v>2024</v>
      </c>
      <c r="I673" t="str">
        <f>TEXT(calls[[#This Row],[Date of Call]],"DDDD")</f>
        <v>Friday</v>
      </c>
      <c r="J673" t="str">
        <f t="array" ref="J673">_xlfn.IFS(calls[[#This Row],[Duration]]&lt;=10,"Under 10 mins", calls[[#This Row],[Duration]]&lt;=30, "10 to 30 mins", calls[[#This Row],[Duration]]&lt;=60, "30 to 60 mins", calls[[#This Row],[Duration]]&lt;=120, "1 to 2 hours", TRUE, "More than 2 hours")</f>
        <v>1 to 2 hours</v>
      </c>
      <c r="K673">
        <f>ROUND(calls[[#This Row],[Satisfaction Rating]],0)</f>
        <v>5</v>
      </c>
    </row>
    <row r="674" spans="1:11" ht="13.8" x14ac:dyDescent="0.25">
      <c r="A674" t="s">
        <v>703</v>
      </c>
      <c r="B674" t="s">
        <v>22</v>
      </c>
      <c r="C674">
        <v>81</v>
      </c>
      <c r="D674" s="4" t="s">
        <v>13</v>
      </c>
      <c r="E674" s="5">
        <v>45156</v>
      </c>
      <c r="F674">
        <v>21</v>
      </c>
      <c r="G674">
        <v>4.9000000000000004</v>
      </c>
      <c r="H674">
        <f>IF(MONTH(calls[[#This Row],[Date of Call]])&lt;=6, YEAR(calls[[#This Row],[Date of Call]]), YEAR(calls[[#This Row],[Date of Call]])+1)</f>
        <v>2024</v>
      </c>
      <c r="I674" t="str">
        <f>TEXT(calls[[#This Row],[Date of Call]],"DDDD")</f>
        <v>Friday</v>
      </c>
      <c r="J674" t="str">
        <f t="array" ref="J674">_xlfn.IFS(calls[[#This Row],[Duration]]&lt;=10,"Under 10 mins", calls[[#This Row],[Duration]]&lt;=30, "10 to 30 mins", calls[[#This Row],[Duration]]&lt;=60, "30 to 60 mins", calls[[#This Row],[Duration]]&lt;=120, "1 to 2 hours", TRUE, "More than 2 hours")</f>
        <v>1 to 2 hours</v>
      </c>
      <c r="K674">
        <f>ROUND(calls[[#This Row],[Satisfaction Rating]],0)</f>
        <v>5</v>
      </c>
    </row>
    <row r="675" spans="1:11" ht="13.8" x14ac:dyDescent="0.25">
      <c r="A675" t="s">
        <v>704</v>
      </c>
      <c r="B675" t="s">
        <v>31</v>
      </c>
      <c r="C675">
        <v>66</v>
      </c>
      <c r="D675" s="4" t="s">
        <v>28</v>
      </c>
      <c r="E675" s="5">
        <v>45157</v>
      </c>
      <c r="F675">
        <v>120</v>
      </c>
      <c r="G675">
        <v>4.5</v>
      </c>
      <c r="H675">
        <f>IF(MONTH(calls[[#This Row],[Date of Call]])&lt;=6, YEAR(calls[[#This Row],[Date of Call]]), YEAR(calls[[#This Row],[Date of Call]])+1)</f>
        <v>2024</v>
      </c>
      <c r="I675" t="str">
        <f>TEXT(calls[[#This Row],[Date of Call]],"DDDD")</f>
        <v>Saturday</v>
      </c>
      <c r="J675" t="str">
        <f t="array" ref="J675">_xlfn.IFS(calls[[#This Row],[Duration]]&lt;=10,"Under 10 mins", calls[[#This Row],[Duration]]&lt;=30, "10 to 30 mins", calls[[#This Row],[Duration]]&lt;=60, "30 to 60 mins", calls[[#This Row],[Duration]]&lt;=120, "1 to 2 hours", TRUE, "More than 2 hours")</f>
        <v>1 to 2 hours</v>
      </c>
      <c r="K675">
        <f>ROUND(calls[[#This Row],[Satisfaction Rating]],0)</f>
        <v>5</v>
      </c>
    </row>
    <row r="676" spans="1:11" ht="13.8" x14ac:dyDescent="0.25">
      <c r="A676" t="s">
        <v>705</v>
      </c>
      <c r="B676" t="s">
        <v>26</v>
      </c>
      <c r="C676">
        <v>61</v>
      </c>
      <c r="D676" s="4" t="s">
        <v>23</v>
      </c>
      <c r="E676" s="5">
        <v>45157</v>
      </c>
      <c r="F676">
        <v>93</v>
      </c>
      <c r="G676">
        <v>2.7</v>
      </c>
      <c r="H676">
        <f>IF(MONTH(calls[[#This Row],[Date of Call]])&lt;=6, YEAR(calls[[#This Row],[Date of Call]]), YEAR(calls[[#This Row],[Date of Call]])+1)</f>
        <v>2024</v>
      </c>
      <c r="I676" t="str">
        <f>TEXT(calls[[#This Row],[Date of Call]],"DDDD")</f>
        <v>Saturday</v>
      </c>
      <c r="J676" t="str">
        <f t="array" ref="J676">_xlfn.IFS(calls[[#This Row],[Duration]]&lt;=10,"Under 10 mins", calls[[#This Row],[Duration]]&lt;=30, "10 to 30 mins", calls[[#This Row],[Duration]]&lt;=60, "30 to 60 mins", calls[[#This Row],[Duration]]&lt;=120, "1 to 2 hours", TRUE, "More than 2 hours")</f>
        <v>1 to 2 hours</v>
      </c>
      <c r="K676">
        <f>ROUND(calls[[#This Row],[Satisfaction Rating]],0)</f>
        <v>3</v>
      </c>
    </row>
    <row r="677" spans="1:11" ht="13.8" x14ac:dyDescent="0.25">
      <c r="A677" t="s">
        <v>706</v>
      </c>
      <c r="B677" t="s">
        <v>22</v>
      </c>
      <c r="C677">
        <v>128</v>
      </c>
      <c r="D677" s="4" t="s">
        <v>23</v>
      </c>
      <c r="E677" s="5">
        <v>45157</v>
      </c>
      <c r="F677">
        <v>135</v>
      </c>
      <c r="G677">
        <v>2.1</v>
      </c>
      <c r="H677">
        <f>IF(MONTH(calls[[#This Row],[Date of Call]])&lt;=6, YEAR(calls[[#This Row],[Date of Call]]), YEAR(calls[[#This Row],[Date of Call]])+1)</f>
        <v>2024</v>
      </c>
      <c r="I677" t="str">
        <f>TEXT(calls[[#This Row],[Date of Call]],"DDDD")</f>
        <v>Saturday</v>
      </c>
      <c r="J677" t="str">
        <f t="array" ref="J677">_xlfn.IFS(calls[[#This Row],[Duration]]&lt;=10,"Under 10 mins", calls[[#This Row],[Duration]]&lt;=30, "10 to 30 mins", calls[[#This Row],[Duration]]&lt;=60, "30 to 60 mins", calls[[#This Row],[Duration]]&lt;=120, "1 to 2 hours", TRUE, "More than 2 hours")</f>
        <v>More than 2 hours</v>
      </c>
      <c r="K677">
        <f>ROUND(calls[[#This Row],[Satisfaction Rating]],0)</f>
        <v>2</v>
      </c>
    </row>
    <row r="678" spans="1:11" ht="13.8" x14ac:dyDescent="0.25">
      <c r="A678" t="s">
        <v>707</v>
      </c>
      <c r="B678" t="s">
        <v>54</v>
      </c>
      <c r="C678">
        <v>30</v>
      </c>
      <c r="D678" s="4" t="s">
        <v>13</v>
      </c>
      <c r="E678" s="5">
        <v>45157</v>
      </c>
      <c r="F678">
        <v>210</v>
      </c>
      <c r="G678">
        <v>4.2</v>
      </c>
      <c r="H678">
        <f>IF(MONTH(calls[[#This Row],[Date of Call]])&lt;=6, YEAR(calls[[#This Row],[Date of Call]]), YEAR(calls[[#This Row],[Date of Call]])+1)</f>
        <v>2024</v>
      </c>
      <c r="I678" t="str">
        <f>TEXT(calls[[#This Row],[Date of Call]],"DDDD")</f>
        <v>Saturday</v>
      </c>
      <c r="J678" t="str">
        <f t="array" ref="J678">_xlfn.IFS(calls[[#This Row],[Duration]]&lt;=10,"Under 10 mins", calls[[#This Row],[Duration]]&lt;=30, "10 to 30 mins", calls[[#This Row],[Duration]]&lt;=60, "30 to 60 mins", calls[[#This Row],[Duration]]&lt;=120, "1 to 2 hours", TRUE, "More than 2 hours")</f>
        <v>10 to 30 mins</v>
      </c>
      <c r="K678">
        <f>ROUND(calls[[#This Row],[Satisfaction Rating]],0)</f>
        <v>4</v>
      </c>
    </row>
    <row r="679" spans="1:11" ht="13.8" x14ac:dyDescent="0.25">
      <c r="A679" t="s">
        <v>708</v>
      </c>
      <c r="B679" t="s">
        <v>84</v>
      </c>
      <c r="C679">
        <v>63</v>
      </c>
      <c r="D679" s="4" t="s">
        <v>23</v>
      </c>
      <c r="E679" s="5">
        <v>45158</v>
      </c>
      <c r="F679">
        <v>29</v>
      </c>
      <c r="G679">
        <v>4.7</v>
      </c>
      <c r="H679">
        <f>IF(MONTH(calls[[#This Row],[Date of Call]])&lt;=6, YEAR(calls[[#This Row],[Date of Call]]), YEAR(calls[[#This Row],[Date of Call]])+1)</f>
        <v>2024</v>
      </c>
      <c r="I679" t="str">
        <f>TEXT(calls[[#This Row],[Date of Call]],"DDDD")</f>
        <v>Sunday</v>
      </c>
      <c r="J679" t="str">
        <f t="array" ref="J679">_xlfn.IFS(calls[[#This Row],[Duration]]&lt;=10,"Under 10 mins", calls[[#This Row],[Duration]]&lt;=30, "10 to 30 mins", calls[[#This Row],[Duration]]&lt;=60, "30 to 60 mins", calls[[#This Row],[Duration]]&lt;=120, "1 to 2 hours", TRUE, "More than 2 hours")</f>
        <v>1 to 2 hours</v>
      </c>
      <c r="K679">
        <f>ROUND(calls[[#This Row],[Satisfaction Rating]],0)</f>
        <v>5</v>
      </c>
    </row>
    <row r="680" spans="1:11" ht="13.8" x14ac:dyDescent="0.25">
      <c r="A680" t="s">
        <v>709</v>
      </c>
      <c r="B680" t="s">
        <v>37</v>
      </c>
      <c r="C680">
        <v>64</v>
      </c>
      <c r="D680" s="4" t="s">
        <v>32</v>
      </c>
      <c r="E680" s="5">
        <v>45158</v>
      </c>
      <c r="F680">
        <v>111</v>
      </c>
      <c r="G680">
        <v>3.9</v>
      </c>
      <c r="H680">
        <f>IF(MONTH(calls[[#This Row],[Date of Call]])&lt;=6, YEAR(calls[[#This Row],[Date of Call]]), YEAR(calls[[#This Row],[Date of Call]])+1)</f>
        <v>2024</v>
      </c>
      <c r="I680" t="str">
        <f>TEXT(calls[[#This Row],[Date of Call]],"DDDD")</f>
        <v>Sunday</v>
      </c>
      <c r="J680" t="str">
        <f t="array" ref="J680">_xlfn.IFS(calls[[#This Row],[Duration]]&lt;=10,"Under 10 mins", calls[[#This Row],[Duration]]&lt;=30, "10 to 30 mins", calls[[#This Row],[Duration]]&lt;=60, "30 to 60 mins", calls[[#This Row],[Duration]]&lt;=120, "1 to 2 hours", TRUE, "More than 2 hours")</f>
        <v>1 to 2 hours</v>
      </c>
      <c r="K680">
        <f>ROUND(calls[[#This Row],[Satisfaction Rating]],0)</f>
        <v>4</v>
      </c>
    </row>
    <row r="681" spans="1:11" ht="13.8" x14ac:dyDescent="0.25">
      <c r="A681" t="s">
        <v>710</v>
      </c>
      <c r="B681" t="s">
        <v>20</v>
      </c>
      <c r="C681">
        <v>151</v>
      </c>
      <c r="D681" s="4" t="s">
        <v>18</v>
      </c>
      <c r="E681" s="5">
        <v>45159</v>
      </c>
      <c r="F681">
        <v>63</v>
      </c>
      <c r="G681">
        <v>4.0999999999999996</v>
      </c>
      <c r="H681">
        <f>IF(MONTH(calls[[#This Row],[Date of Call]])&lt;=6, YEAR(calls[[#This Row],[Date of Call]]), YEAR(calls[[#This Row],[Date of Call]])+1)</f>
        <v>2024</v>
      </c>
      <c r="I681" t="str">
        <f>TEXT(calls[[#This Row],[Date of Call]],"DDDD")</f>
        <v>Monday</v>
      </c>
      <c r="J681" t="str">
        <f t="array" ref="J681">_xlfn.IFS(calls[[#This Row],[Duration]]&lt;=10,"Under 10 mins", calls[[#This Row],[Duration]]&lt;=30, "10 to 30 mins", calls[[#This Row],[Duration]]&lt;=60, "30 to 60 mins", calls[[#This Row],[Duration]]&lt;=120, "1 to 2 hours", TRUE, "More than 2 hours")</f>
        <v>More than 2 hours</v>
      </c>
      <c r="K681">
        <f>ROUND(calls[[#This Row],[Satisfaction Rating]],0)</f>
        <v>4</v>
      </c>
    </row>
    <row r="682" spans="1:11" ht="13.8" x14ac:dyDescent="0.25">
      <c r="A682" t="s">
        <v>711</v>
      </c>
      <c r="B682" t="s">
        <v>64</v>
      </c>
      <c r="C682">
        <v>116</v>
      </c>
      <c r="D682" s="4" t="s">
        <v>28</v>
      </c>
      <c r="E682" s="5">
        <v>45159</v>
      </c>
      <c r="F682">
        <v>44</v>
      </c>
      <c r="G682">
        <v>3.8</v>
      </c>
      <c r="H682">
        <f>IF(MONTH(calls[[#This Row],[Date of Call]])&lt;=6, YEAR(calls[[#This Row],[Date of Call]]), YEAR(calls[[#This Row],[Date of Call]])+1)</f>
        <v>2024</v>
      </c>
      <c r="I682" t="str">
        <f>TEXT(calls[[#This Row],[Date of Call]],"DDDD")</f>
        <v>Monday</v>
      </c>
      <c r="J682" t="str">
        <f t="array" ref="J682">_xlfn.IFS(calls[[#This Row],[Duration]]&lt;=10,"Under 10 mins", calls[[#This Row],[Duration]]&lt;=30, "10 to 30 mins", calls[[#This Row],[Duration]]&lt;=60, "30 to 60 mins", calls[[#This Row],[Duration]]&lt;=120, "1 to 2 hours", TRUE, "More than 2 hours")</f>
        <v>1 to 2 hours</v>
      </c>
      <c r="K682">
        <f>ROUND(calls[[#This Row],[Satisfaction Rating]],0)</f>
        <v>4</v>
      </c>
    </row>
    <row r="683" spans="1:11" ht="13.8" x14ac:dyDescent="0.25">
      <c r="A683" t="s">
        <v>712</v>
      </c>
      <c r="B683" t="s">
        <v>20</v>
      </c>
      <c r="C683">
        <v>111</v>
      </c>
      <c r="D683" s="4" t="s">
        <v>28</v>
      </c>
      <c r="E683" s="5">
        <v>45161</v>
      </c>
      <c r="F683">
        <v>120</v>
      </c>
      <c r="G683">
        <v>1.8</v>
      </c>
      <c r="H683">
        <f>IF(MONTH(calls[[#This Row],[Date of Call]])&lt;=6, YEAR(calls[[#This Row],[Date of Call]]), YEAR(calls[[#This Row],[Date of Call]])+1)</f>
        <v>2024</v>
      </c>
      <c r="I683" t="str">
        <f>TEXT(calls[[#This Row],[Date of Call]],"DDDD")</f>
        <v>Wednesday</v>
      </c>
      <c r="J683" t="str">
        <f t="array" ref="J683">_xlfn.IFS(calls[[#This Row],[Duration]]&lt;=10,"Under 10 mins", calls[[#This Row],[Duration]]&lt;=30, "10 to 30 mins", calls[[#This Row],[Duration]]&lt;=60, "30 to 60 mins", calls[[#This Row],[Duration]]&lt;=120, "1 to 2 hours", TRUE, "More than 2 hours")</f>
        <v>1 to 2 hours</v>
      </c>
      <c r="K683">
        <f>ROUND(calls[[#This Row],[Satisfaction Rating]],0)</f>
        <v>2</v>
      </c>
    </row>
    <row r="684" spans="1:11" ht="13.8" x14ac:dyDescent="0.25">
      <c r="A684" t="s">
        <v>713</v>
      </c>
      <c r="B684" t="s">
        <v>22</v>
      </c>
      <c r="C684">
        <v>15</v>
      </c>
      <c r="D684" s="4" t="s">
        <v>28</v>
      </c>
      <c r="E684" s="5">
        <v>45161</v>
      </c>
      <c r="F684">
        <v>120</v>
      </c>
      <c r="G684">
        <v>4.0999999999999996</v>
      </c>
      <c r="H684">
        <f>IF(MONTH(calls[[#This Row],[Date of Call]])&lt;=6, YEAR(calls[[#This Row],[Date of Call]]), YEAR(calls[[#This Row],[Date of Call]])+1)</f>
        <v>2024</v>
      </c>
      <c r="I684" t="str">
        <f>TEXT(calls[[#This Row],[Date of Call]],"DDDD")</f>
        <v>Wednesday</v>
      </c>
      <c r="J684" t="str">
        <f t="array" ref="J684">_xlfn.IFS(calls[[#This Row],[Duration]]&lt;=10,"Under 10 mins", calls[[#This Row],[Duration]]&lt;=30, "10 to 30 mins", calls[[#This Row],[Duration]]&lt;=60, "30 to 60 mins", calls[[#This Row],[Duration]]&lt;=120, "1 to 2 hours", TRUE, "More than 2 hours")</f>
        <v>10 to 30 mins</v>
      </c>
      <c r="K684">
        <f>ROUND(calls[[#This Row],[Satisfaction Rating]],0)</f>
        <v>4</v>
      </c>
    </row>
    <row r="685" spans="1:11" ht="13.8" x14ac:dyDescent="0.25">
      <c r="A685" t="s">
        <v>714</v>
      </c>
      <c r="B685" t="s">
        <v>37</v>
      </c>
      <c r="C685">
        <v>18</v>
      </c>
      <c r="D685" s="4" t="s">
        <v>18</v>
      </c>
      <c r="E685" s="5">
        <v>45162</v>
      </c>
      <c r="F685">
        <v>40</v>
      </c>
      <c r="G685">
        <v>4.4000000000000004</v>
      </c>
      <c r="H685">
        <f>IF(MONTH(calls[[#This Row],[Date of Call]])&lt;=6, YEAR(calls[[#This Row],[Date of Call]]), YEAR(calls[[#This Row],[Date of Call]])+1)</f>
        <v>2024</v>
      </c>
      <c r="I685" t="str">
        <f>TEXT(calls[[#This Row],[Date of Call]],"DDDD")</f>
        <v>Thursday</v>
      </c>
      <c r="J685" t="str">
        <f t="array" ref="J685">_xlfn.IFS(calls[[#This Row],[Duration]]&lt;=10,"Under 10 mins", calls[[#This Row],[Duration]]&lt;=30, "10 to 30 mins", calls[[#This Row],[Duration]]&lt;=60, "30 to 60 mins", calls[[#This Row],[Duration]]&lt;=120, "1 to 2 hours", TRUE, "More than 2 hours")</f>
        <v>10 to 30 mins</v>
      </c>
      <c r="K685">
        <f>ROUND(calls[[#This Row],[Satisfaction Rating]],0)</f>
        <v>4</v>
      </c>
    </row>
    <row r="686" spans="1:11" ht="13.8" x14ac:dyDescent="0.25">
      <c r="A686" t="s">
        <v>715</v>
      </c>
      <c r="B686" t="s">
        <v>26</v>
      </c>
      <c r="C686">
        <v>146</v>
      </c>
      <c r="D686" s="4" t="s">
        <v>23</v>
      </c>
      <c r="E686" s="5">
        <v>45162</v>
      </c>
      <c r="F686">
        <v>160</v>
      </c>
      <c r="G686">
        <v>4.0999999999999996</v>
      </c>
      <c r="H686">
        <f>IF(MONTH(calls[[#This Row],[Date of Call]])&lt;=6, YEAR(calls[[#This Row],[Date of Call]]), YEAR(calls[[#This Row],[Date of Call]])+1)</f>
        <v>2024</v>
      </c>
      <c r="I686" t="str">
        <f>TEXT(calls[[#This Row],[Date of Call]],"DDDD")</f>
        <v>Thursday</v>
      </c>
      <c r="J686" t="str">
        <f t="array" ref="J686">_xlfn.IFS(calls[[#This Row],[Duration]]&lt;=10,"Under 10 mins", calls[[#This Row],[Duration]]&lt;=30, "10 to 30 mins", calls[[#This Row],[Duration]]&lt;=60, "30 to 60 mins", calls[[#This Row],[Duration]]&lt;=120, "1 to 2 hours", TRUE, "More than 2 hours")</f>
        <v>More than 2 hours</v>
      </c>
      <c r="K686">
        <f>ROUND(calls[[#This Row],[Satisfaction Rating]],0)</f>
        <v>4</v>
      </c>
    </row>
    <row r="687" spans="1:11" ht="13.8" x14ac:dyDescent="0.25">
      <c r="A687" t="s">
        <v>716</v>
      </c>
      <c r="B687" t="s">
        <v>54</v>
      </c>
      <c r="C687">
        <v>73</v>
      </c>
      <c r="D687" s="4" t="s">
        <v>28</v>
      </c>
      <c r="E687" s="5">
        <v>45163</v>
      </c>
      <c r="F687">
        <v>44</v>
      </c>
      <c r="G687">
        <v>3.8</v>
      </c>
      <c r="H687">
        <f>IF(MONTH(calls[[#This Row],[Date of Call]])&lt;=6, YEAR(calls[[#This Row],[Date of Call]]), YEAR(calls[[#This Row],[Date of Call]])+1)</f>
        <v>2024</v>
      </c>
      <c r="I687" t="str">
        <f>TEXT(calls[[#This Row],[Date of Call]],"DDDD")</f>
        <v>Friday</v>
      </c>
      <c r="J687" t="str">
        <f t="array" ref="J687">_xlfn.IFS(calls[[#This Row],[Duration]]&lt;=10,"Under 10 mins", calls[[#This Row],[Duration]]&lt;=30, "10 to 30 mins", calls[[#This Row],[Duration]]&lt;=60, "30 to 60 mins", calls[[#This Row],[Duration]]&lt;=120, "1 to 2 hours", TRUE, "More than 2 hours")</f>
        <v>1 to 2 hours</v>
      </c>
      <c r="K687">
        <f>ROUND(calls[[#This Row],[Satisfaction Rating]],0)</f>
        <v>4</v>
      </c>
    </row>
    <row r="688" spans="1:11" ht="13.8" x14ac:dyDescent="0.25">
      <c r="A688" t="s">
        <v>717</v>
      </c>
      <c r="B688" t="s">
        <v>20</v>
      </c>
      <c r="C688">
        <v>108</v>
      </c>
      <c r="D688" s="4" t="s">
        <v>18</v>
      </c>
      <c r="E688" s="5">
        <v>45163</v>
      </c>
      <c r="F688">
        <v>80</v>
      </c>
      <c r="G688">
        <v>4.3</v>
      </c>
      <c r="H688">
        <f>IF(MONTH(calls[[#This Row],[Date of Call]])&lt;=6, YEAR(calls[[#This Row],[Date of Call]]), YEAR(calls[[#This Row],[Date of Call]])+1)</f>
        <v>2024</v>
      </c>
      <c r="I688" t="str">
        <f>TEXT(calls[[#This Row],[Date of Call]],"DDDD")</f>
        <v>Friday</v>
      </c>
      <c r="J688" t="str">
        <f t="array" ref="J688">_xlfn.IFS(calls[[#This Row],[Duration]]&lt;=10,"Under 10 mins", calls[[#This Row],[Duration]]&lt;=30, "10 to 30 mins", calls[[#This Row],[Duration]]&lt;=60, "30 to 60 mins", calls[[#This Row],[Duration]]&lt;=120, "1 to 2 hours", TRUE, "More than 2 hours")</f>
        <v>1 to 2 hours</v>
      </c>
      <c r="K688">
        <f>ROUND(calls[[#This Row],[Satisfaction Rating]],0)</f>
        <v>4</v>
      </c>
    </row>
    <row r="689" spans="1:11" ht="13.8" x14ac:dyDescent="0.25">
      <c r="A689" t="s">
        <v>718</v>
      </c>
      <c r="B689" t="s">
        <v>46</v>
      </c>
      <c r="C689">
        <v>52</v>
      </c>
      <c r="D689" s="4" t="s">
        <v>18</v>
      </c>
      <c r="E689" s="5">
        <v>45164</v>
      </c>
      <c r="F689">
        <v>66</v>
      </c>
      <c r="G689">
        <v>4.5</v>
      </c>
      <c r="H689">
        <f>IF(MONTH(calls[[#This Row],[Date of Call]])&lt;=6, YEAR(calls[[#This Row],[Date of Call]]), YEAR(calls[[#This Row],[Date of Call]])+1)</f>
        <v>2024</v>
      </c>
      <c r="I689" t="str">
        <f>TEXT(calls[[#This Row],[Date of Call]],"DDDD")</f>
        <v>Saturday</v>
      </c>
      <c r="J689" t="str">
        <f t="array" ref="J689">_xlfn.IFS(calls[[#This Row],[Duration]]&lt;=10,"Under 10 mins", calls[[#This Row],[Duration]]&lt;=30, "10 to 30 mins", calls[[#This Row],[Duration]]&lt;=60, "30 to 60 mins", calls[[#This Row],[Duration]]&lt;=120, "1 to 2 hours", TRUE, "More than 2 hours")</f>
        <v>30 to 60 mins</v>
      </c>
      <c r="K689">
        <f>ROUND(calls[[#This Row],[Satisfaction Rating]],0)</f>
        <v>5</v>
      </c>
    </row>
    <row r="690" spans="1:11" ht="13.8" x14ac:dyDescent="0.25">
      <c r="A690" t="s">
        <v>719</v>
      </c>
      <c r="B690" t="s">
        <v>64</v>
      </c>
      <c r="C690">
        <v>165</v>
      </c>
      <c r="D690" s="4" t="s">
        <v>32</v>
      </c>
      <c r="E690" s="5">
        <v>45164</v>
      </c>
      <c r="F690">
        <v>82</v>
      </c>
      <c r="G690">
        <v>3.4</v>
      </c>
      <c r="H690">
        <f>IF(MONTH(calls[[#This Row],[Date of Call]])&lt;=6, YEAR(calls[[#This Row],[Date of Call]]), YEAR(calls[[#This Row],[Date of Call]])+1)</f>
        <v>2024</v>
      </c>
      <c r="I690" t="str">
        <f>TEXT(calls[[#This Row],[Date of Call]],"DDDD")</f>
        <v>Saturday</v>
      </c>
      <c r="J690" t="str">
        <f t="array" ref="J690">_xlfn.IFS(calls[[#This Row],[Duration]]&lt;=10,"Under 10 mins", calls[[#This Row],[Duration]]&lt;=30, "10 to 30 mins", calls[[#This Row],[Duration]]&lt;=60, "30 to 60 mins", calls[[#This Row],[Duration]]&lt;=120, "1 to 2 hours", TRUE, "More than 2 hours")</f>
        <v>More than 2 hours</v>
      </c>
      <c r="K690">
        <f>ROUND(calls[[#This Row],[Satisfaction Rating]],0)</f>
        <v>3</v>
      </c>
    </row>
    <row r="691" spans="1:11" ht="13.8" x14ac:dyDescent="0.25">
      <c r="A691" t="s">
        <v>720</v>
      </c>
      <c r="B691" t="s">
        <v>26</v>
      </c>
      <c r="C691">
        <v>104</v>
      </c>
      <c r="D691" s="4" t="s">
        <v>28</v>
      </c>
      <c r="E691" s="5">
        <v>45164</v>
      </c>
      <c r="F691">
        <v>66</v>
      </c>
      <c r="G691">
        <v>4.8</v>
      </c>
      <c r="H691">
        <f>IF(MONTH(calls[[#This Row],[Date of Call]])&lt;=6, YEAR(calls[[#This Row],[Date of Call]]), YEAR(calls[[#This Row],[Date of Call]])+1)</f>
        <v>2024</v>
      </c>
      <c r="I691" t="str">
        <f>TEXT(calls[[#This Row],[Date of Call]],"DDDD")</f>
        <v>Saturday</v>
      </c>
      <c r="J691" t="str">
        <f t="array" ref="J691">_xlfn.IFS(calls[[#This Row],[Duration]]&lt;=10,"Under 10 mins", calls[[#This Row],[Duration]]&lt;=30, "10 to 30 mins", calls[[#This Row],[Duration]]&lt;=60, "30 to 60 mins", calls[[#This Row],[Duration]]&lt;=120, "1 to 2 hours", TRUE, "More than 2 hours")</f>
        <v>1 to 2 hours</v>
      </c>
      <c r="K691">
        <f>ROUND(calls[[#This Row],[Satisfaction Rating]],0)</f>
        <v>5</v>
      </c>
    </row>
    <row r="692" spans="1:11" ht="13.8" x14ac:dyDescent="0.25">
      <c r="A692" t="s">
        <v>721</v>
      </c>
      <c r="B692" t="s">
        <v>54</v>
      </c>
      <c r="C692">
        <v>131</v>
      </c>
      <c r="D692" s="4" t="s">
        <v>23</v>
      </c>
      <c r="E692" s="5">
        <v>45164</v>
      </c>
      <c r="F692">
        <v>92</v>
      </c>
      <c r="G692">
        <v>4.9000000000000004</v>
      </c>
      <c r="H692">
        <f>IF(MONTH(calls[[#This Row],[Date of Call]])&lt;=6, YEAR(calls[[#This Row],[Date of Call]]), YEAR(calls[[#This Row],[Date of Call]])+1)</f>
        <v>2024</v>
      </c>
      <c r="I692" t="str">
        <f>TEXT(calls[[#This Row],[Date of Call]],"DDDD")</f>
        <v>Saturday</v>
      </c>
      <c r="J692" t="str">
        <f t="array" ref="J692">_xlfn.IFS(calls[[#This Row],[Duration]]&lt;=10,"Under 10 mins", calls[[#This Row],[Duration]]&lt;=30, "10 to 30 mins", calls[[#This Row],[Duration]]&lt;=60, "30 to 60 mins", calls[[#This Row],[Duration]]&lt;=120, "1 to 2 hours", TRUE, "More than 2 hours")</f>
        <v>More than 2 hours</v>
      </c>
      <c r="K692">
        <f>ROUND(calls[[#This Row],[Satisfaction Rating]],0)</f>
        <v>5</v>
      </c>
    </row>
    <row r="693" spans="1:11" ht="13.8" x14ac:dyDescent="0.25">
      <c r="A693" t="s">
        <v>722</v>
      </c>
      <c r="B693" t="s">
        <v>51</v>
      </c>
      <c r="C693">
        <v>80</v>
      </c>
      <c r="D693" s="4" t="s">
        <v>32</v>
      </c>
      <c r="E693" s="5">
        <v>45165</v>
      </c>
      <c r="F693">
        <v>104</v>
      </c>
      <c r="G693">
        <v>4.7</v>
      </c>
      <c r="H693">
        <f>IF(MONTH(calls[[#This Row],[Date of Call]])&lt;=6, YEAR(calls[[#This Row],[Date of Call]]), YEAR(calls[[#This Row],[Date of Call]])+1)</f>
        <v>2024</v>
      </c>
      <c r="I693" t="str">
        <f>TEXT(calls[[#This Row],[Date of Call]],"DDDD")</f>
        <v>Sunday</v>
      </c>
      <c r="J693" t="str">
        <f t="array" ref="J693">_xlfn.IFS(calls[[#This Row],[Duration]]&lt;=10,"Under 10 mins", calls[[#This Row],[Duration]]&lt;=30, "10 to 30 mins", calls[[#This Row],[Duration]]&lt;=60, "30 to 60 mins", calls[[#This Row],[Duration]]&lt;=120, "1 to 2 hours", TRUE, "More than 2 hours")</f>
        <v>1 to 2 hours</v>
      </c>
      <c r="K693">
        <f>ROUND(calls[[#This Row],[Satisfaction Rating]],0)</f>
        <v>5</v>
      </c>
    </row>
    <row r="694" spans="1:11" ht="13.8" x14ac:dyDescent="0.25">
      <c r="A694" t="s">
        <v>723</v>
      </c>
      <c r="B694" t="s">
        <v>22</v>
      </c>
      <c r="C694">
        <v>49</v>
      </c>
      <c r="D694" s="4" t="s">
        <v>28</v>
      </c>
      <c r="E694" s="5">
        <v>45165</v>
      </c>
      <c r="F694">
        <v>105</v>
      </c>
      <c r="G694">
        <v>3.3</v>
      </c>
      <c r="H694">
        <f>IF(MONTH(calls[[#This Row],[Date of Call]])&lt;=6, YEAR(calls[[#This Row],[Date of Call]]), YEAR(calls[[#This Row],[Date of Call]])+1)</f>
        <v>2024</v>
      </c>
      <c r="I694" t="str">
        <f>TEXT(calls[[#This Row],[Date of Call]],"DDDD")</f>
        <v>Sunday</v>
      </c>
      <c r="J694" t="str">
        <f t="array" ref="J694">_xlfn.IFS(calls[[#This Row],[Duration]]&lt;=10,"Under 10 mins", calls[[#This Row],[Duration]]&lt;=30, "10 to 30 mins", calls[[#This Row],[Duration]]&lt;=60, "30 to 60 mins", calls[[#This Row],[Duration]]&lt;=120, "1 to 2 hours", TRUE, "More than 2 hours")</f>
        <v>30 to 60 mins</v>
      </c>
      <c r="K694">
        <f>ROUND(calls[[#This Row],[Satisfaction Rating]],0)</f>
        <v>3</v>
      </c>
    </row>
    <row r="695" spans="1:11" ht="13.8" x14ac:dyDescent="0.25">
      <c r="A695" t="s">
        <v>724</v>
      </c>
      <c r="B695" t="s">
        <v>64</v>
      </c>
      <c r="C695">
        <v>73</v>
      </c>
      <c r="D695" s="4" t="s">
        <v>28</v>
      </c>
      <c r="E695" s="5">
        <v>45165</v>
      </c>
      <c r="F695">
        <v>100</v>
      </c>
      <c r="G695">
        <v>2.8</v>
      </c>
      <c r="H695">
        <f>IF(MONTH(calls[[#This Row],[Date of Call]])&lt;=6, YEAR(calls[[#This Row],[Date of Call]]), YEAR(calls[[#This Row],[Date of Call]])+1)</f>
        <v>2024</v>
      </c>
      <c r="I695" t="str">
        <f>TEXT(calls[[#This Row],[Date of Call]],"DDDD")</f>
        <v>Sunday</v>
      </c>
      <c r="J695" t="str">
        <f t="array" ref="J695">_xlfn.IFS(calls[[#This Row],[Duration]]&lt;=10,"Under 10 mins", calls[[#This Row],[Duration]]&lt;=30, "10 to 30 mins", calls[[#This Row],[Duration]]&lt;=60, "30 to 60 mins", calls[[#This Row],[Duration]]&lt;=120, "1 to 2 hours", TRUE, "More than 2 hours")</f>
        <v>1 to 2 hours</v>
      </c>
      <c r="K695">
        <f>ROUND(calls[[#This Row],[Satisfaction Rating]],0)</f>
        <v>3</v>
      </c>
    </row>
    <row r="696" spans="1:11" ht="13.8" x14ac:dyDescent="0.25">
      <c r="A696" t="s">
        <v>725</v>
      </c>
      <c r="B696" t="s">
        <v>26</v>
      </c>
      <c r="C696">
        <v>117</v>
      </c>
      <c r="D696" s="4" t="s">
        <v>32</v>
      </c>
      <c r="E696" s="5">
        <v>45165</v>
      </c>
      <c r="F696">
        <v>90</v>
      </c>
      <c r="G696">
        <v>4.0999999999999996</v>
      </c>
      <c r="H696">
        <f>IF(MONTH(calls[[#This Row],[Date of Call]])&lt;=6, YEAR(calls[[#This Row],[Date of Call]]), YEAR(calls[[#This Row],[Date of Call]])+1)</f>
        <v>2024</v>
      </c>
      <c r="I696" t="str">
        <f>TEXT(calls[[#This Row],[Date of Call]],"DDDD")</f>
        <v>Sunday</v>
      </c>
      <c r="J696" t="str">
        <f t="array" ref="J696">_xlfn.IFS(calls[[#This Row],[Duration]]&lt;=10,"Under 10 mins", calls[[#This Row],[Duration]]&lt;=30, "10 to 30 mins", calls[[#This Row],[Duration]]&lt;=60, "30 to 60 mins", calls[[#This Row],[Duration]]&lt;=120, "1 to 2 hours", TRUE, "More than 2 hours")</f>
        <v>1 to 2 hours</v>
      </c>
      <c r="K696">
        <f>ROUND(calls[[#This Row],[Satisfaction Rating]],0)</f>
        <v>4</v>
      </c>
    </row>
    <row r="697" spans="1:11" ht="13.8" x14ac:dyDescent="0.25">
      <c r="A697" t="s">
        <v>726</v>
      </c>
      <c r="B697" t="s">
        <v>17</v>
      </c>
      <c r="C697">
        <v>38</v>
      </c>
      <c r="D697" s="4" t="s">
        <v>13</v>
      </c>
      <c r="E697" s="5">
        <v>45165</v>
      </c>
      <c r="F697">
        <v>110</v>
      </c>
      <c r="G697">
        <v>3.5</v>
      </c>
      <c r="H697">
        <f>IF(MONTH(calls[[#This Row],[Date of Call]])&lt;=6, YEAR(calls[[#This Row],[Date of Call]]), YEAR(calls[[#This Row],[Date of Call]])+1)</f>
        <v>2024</v>
      </c>
      <c r="I697" t="str">
        <f>TEXT(calls[[#This Row],[Date of Call]],"DDDD")</f>
        <v>Sunday</v>
      </c>
      <c r="J697" t="str">
        <f t="array" ref="J697">_xlfn.IFS(calls[[#This Row],[Duration]]&lt;=10,"Under 10 mins", calls[[#This Row],[Duration]]&lt;=30, "10 to 30 mins", calls[[#This Row],[Duration]]&lt;=60, "30 to 60 mins", calls[[#This Row],[Duration]]&lt;=120, "1 to 2 hours", TRUE, "More than 2 hours")</f>
        <v>30 to 60 mins</v>
      </c>
      <c r="K697">
        <f>ROUND(calls[[#This Row],[Satisfaction Rating]],0)</f>
        <v>4</v>
      </c>
    </row>
    <row r="698" spans="1:11" ht="13.8" x14ac:dyDescent="0.25">
      <c r="A698" t="s">
        <v>727</v>
      </c>
      <c r="B698" t="s">
        <v>46</v>
      </c>
      <c r="C698">
        <v>109</v>
      </c>
      <c r="D698" s="4" t="s">
        <v>32</v>
      </c>
      <c r="E698" s="5">
        <v>45167</v>
      </c>
      <c r="F698">
        <v>68</v>
      </c>
      <c r="G698">
        <v>2.2999999999999998</v>
      </c>
      <c r="H698">
        <f>IF(MONTH(calls[[#This Row],[Date of Call]])&lt;=6, YEAR(calls[[#This Row],[Date of Call]]), YEAR(calls[[#This Row],[Date of Call]])+1)</f>
        <v>2024</v>
      </c>
      <c r="I698" t="str">
        <f>TEXT(calls[[#This Row],[Date of Call]],"DDDD")</f>
        <v>Tuesday</v>
      </c>
      <c r="J698" t="str">
        <f t="array" ref="J698">_xlfn.IFS(calls[[#This Row],[Duration]]&lt;=10,"Under 10 mins", calls[[#This Row],[Duration]]&lt;=30, "10 to 30 mins", calls[[#This Row],[Duration]]&lt;=60, "30 to 60 mins", calls[[#This Row],[Duration]]&lt;=120, "1 to 2 hours", TRUE, "More than 2 hours")</f>
        <v>1 to 2 hours</v>
      </c>
      <c r="K698">
        <f>ROUND(calls[[#This Row],[Satisfaction Rating]],0)</f>
        <v>2</v>
      </c>
    </row>
    <row r="699" spans="1:11" ht="13.8" x14ac:dyDescent="0.25">
      <c r="A699" t="s">
        <v>728</v>
      </c>
      <c r="B699" t="s">
        <v>22</v>
      </c>
      <c r="C699">
        <v>70</v>
      </c>
      <c r="D699" s="4" t="s">
        <v>18</v>
      </c>
      <c r="E699" s="5">
        <v>45168</v>
      </c>
      <c r="F699">
        <v>210</v>
      </c>
      <c r="G699">
        <v>4.0999999999999996</v>
      </c>
      <c r="H699">
        <f>IF(MONTH(calls[[#This Row],[Date of Call]])&lt;=6, YEAR(calls[[#This Row],[Date of Call]]), YEAR(calls[[#This Row],[Date of Call]])+1)</f>
        <v>2024</v>
      </c>
      <c r="I699" t="str">
        <f>TEXT(calls[[#This Row],[Date of Call]],"DDDD")</f>
        <v>Wednesday</v>
      </c>
      <c r="J699" t="str">
        <f t="array" ref="J699">_xlfn.IFS(calls[[#This Row],[Duration]]&lt;=10,"Under 10 mins", calls[[#This Row],[Duration]]&lt;=30, "10 to 30 mins", calls[[#This Row],[Duration]]&lt;=60, "30 to 60 mins", calls[[#This Row],[Duration]]&lt;=120, "1 to 2 hours", TRUE, "More than 2 hours")</f>
        <v>1 to 2 hours</v>
      </c>
      <c r="K699">
        <f>ROUND(calls[[#This Row],[Satisfaction Rating]],0)</f>
        <v>4</v>
      </c>
    </row>
    <row r="700" spans="1:11" ht="13.8" x14ac:dyDescent="0.25">
      <c r="A700" t="s">
        <v>729</v>
      </c>
      <c r="B700" t="s">
        <v>15</v>
      </c>
      <c r="C700">
        <v>51</v>
      </c>
      <c r="D700" s="4" t="s">
        <v>13</v>
      </c>
      <c r="E700" s="5">
        <v>45168</v>
      </c>
      <c r="F700">
        <v>111</v>
      </c>
      <c r="G700">
        <v>4.3</v>
      </c>
      <c r="H700">
        <f>IF(MONTH(calls[[#This Row],[Date of Call]])&lt;=6, YEAR(calls[[#This Row],[Date of Call]]), YEAR(calls[[#This Row],[Date of Call]])+1)</f>
        <v>2024</v>
      </c>
      <c r="I700" t="str">
        <f>TEXT(calls[[#This Row],[Date of Call]],"DDDD")</f>
        <v>Wednesday</v>
      </c>
      <c r="J700" t="str">
        <f t="array" ref="J700">_xlfn.IFS(calls[[#This Row],[Duration]]&lt;=10,"Under 10 mins", calls[[#This Row],[Duration]]&lt;=30, "10 to 30 mins", calls[[#This Row],[Duration]]&lt;=60, "30 to 60 mins", calls[[#This Row],[Duration]]&lt;=120, "1 to 2 hours", TRUE, "More than 2 hours")</f>
        <v>30 to 60 mins</v>
      </c>
      <c r="K700">
        <f>ROUND(calls[[#This Row],[Satisfaction Rating]],0)</f>
        <v>4</v>
      </c>
    </row>
    <row r="701" spans="1:11" ht="13.8" x14ac:dyDescent="0.25">
      <c r="A701" t="s">
        <v>730</v>
      </c>
      <c r="B701" t="s">
        <v>15</v>
      </c>
      <c r="C701">
        <v>100</v>
      </c>
      <c r="D701" s="4" t="s">
        <v>18</v>
      </c>
      <c r="E701" s="5">
        <v>45169</v>
      </c>
      <c r="F701">
        <v>45</v>
      </c>
      <c r="G701">
        <v>4.9000000000000004</v>
      </c>
      <c r="H701">
        <f>IF(MONTH(calls[[#This Row],[Date of Call]])&lt;=6, YEAR(calls[[#This Row],[Date of Call]]), YEAR(calls[[#This Row],[Date of Call]])+1)</f>
        <v>2024</v>
      </c>
      <c r="I701" t="str">
        <f>TEXT(calls[[#This Row],[Date of Call]],"DDDD")</f>
        <v>Thursday</v>
      </c>
      <c r="J701" t="str">
        <f t="array" ref="J701">_xlfn.IFS(calls[[#This Row],[Duration]]&lt;=10,"Under 10 mins", calls[[#This Row],[Duration]]&lt;=30, "10 to 30 mins", calls[[#This Row],[Duration]]&lt;=60, "30 to 60 mins", calls[[#This Row],[Duration]]&lt;=120, "1 to 2 hours", TRUE, "More than 2 hours")</f>
        <v>1 to 2 hours</v>
      </c>
      <c r="K701">
        <f>ROUND(calls[[#This Row],[Satisfaction Rating]],0)</f>
        <v>5</v>
      </c>
    </row>
    <row r="702" spans="1:11" ht="13.8" x14ac:dyDescent="0.25">
      <c r="A702" t="s">
        <v>731</v>
      </c>
      <c r="B702" t="s">
        <v>35</v>
      </c>
      <c r="C702">
        <v>124</v>
      </c>
      <c r="D702" s="4" t="s">
        <v>13</v>
      </c>
      <c r="E702" s="5">
        <v>45170</v>
      </c>
      <c r="F702">
        <v>132</v>
      </c>
      <c r="G702">
        <v>4</v>
      </c>
      <c r="H702">
        <f>IF(MONTH(calls[[#This Row],[Date of Call]])&lt;=6, YEAR(calls[[#This Row],[Date of Call]]), YEAR(calls[[#This Row],[Date of Call]])+1)</f>
        <v>2024</v>
      </c>
      <c r="I702" t="str">
        <f>TEXT(calls[[#This Row],[Date of Call]],"DDDD")</f>
        <v>Friday</v>
      </c>
      <c r="J702" t="str">
        <f t="array" ref="J702">_xlfn.IFS(calls[[#This Row],[Duration]]&lt;=10,"Under 10 mins", calls[[#This Row],[Duration]]&lt;=30, "10 to 30 mins", calls[[#This Row],[Duration]]&lt;=60, "30 to 60 mins", calls[[#This Row],[Duration]]&lt;=120, "1 to 2 hours", TRUE, "More than 2 hours")</f>
        <v>More than 2 hours</v>
      </c>
      <c r="K702">
        <f>ROUND(calls[[#This Row],[Satisfaction Rating]],0)</f>
        <v>4</v>
      </c>
    </row>
    <row r="703" spans="1:11" ht="13.8" x14ac:dyDescent="0.25">
      <c r="A703" t="s">
        <v>732</v>
      </c>
      <c r="B703" t="s">
        <v>12</v>
      </c>
      <c r="C703">
        <v>143</v>
      </c>
      <c r="D703" s="4" t="s">
        <v>32</v>
      </c>
      <c r="E703" s="5">
        <v>45170</v>
      </c>
      <c r="F703">
        <v>20</v>
      </c>
      <c r="G703">
        <v>4.7</v>
      </c>
      <c r="H703">
        <f>IF(MONTH(calls[[#This Row],[Date of Call]])&lt;=6, YEAR(calls[[#This Row],[Date of Call]]), YEAR(calls[[#This Row],[Date of Call]])+1)</f>
        <v>2024</v>
      </c>
      <c r="I703" t="str">
        <f>TEXT(calls[[#This Row],[Date of Call]],"DDDD")</f>
        <v>Friday</v>
      </c>
      <c r="J703" t="str">
        <f t="array" ref="J703">_xlfn.IFS(calls[[#This Row],[Duration]]&lt;=10,"Under 10 mins", calls[[#This Row],[Duration]]&lt;=30, "10 to 30 mins", calls[[#This Row],[Duration]]&lt;=60, "30 to 60 mins", calls[[#This Row],[Duration]]&lt;=120, "1 to 2 hours", TRUE, "More than 2 hours")</f>
        <v>More than 2 hours</v>
      </c>
      <c r="K703">
        <f>ROUND(calls[[#This Row],[Satisfaction Rating]],0)</f>
        <v>5</v>
      </c>
    </row>
    <row r="704" spans="1:11" ht="13.8" x14ac:dyDescent="0.25">
      <c r="A704" t="s">
        <v>733</v>
      </c>
      <c r="B704" t="s">
        <v>31</v>
      </c>
      <c r="C704">
        <v>96</v>
      </c>
      <c r="D704" s="4" t="s">
        <v>28</v>
      </c>
      <c r="E704" s="5">
        <v>45170</v>
      </c>
      <c r="F704">
        <v>36</v>
      </c>
      <c r="G704">
        <v>3.4</v>
      </c>
      <c r="H704">
        <f>IF(MONTH(calls[[#This Row],[Date of Call]])&lt;=6, YEAR(calls[[#This Row],[Date of Call]]), YEAR(calls[[#This Row],[Date of Call]])+1)</f>
        <v>2024</v>
      </c>
      <c r="I704" t="str">
        <f>TEXT(calls[[#This Row],[Date of Call]],"DDDD")</f>
        <v>Friday</v>
      </c>
      <c r="J704" t="str">
        <f t="array" ref="J704">_xlfn.IFS(calls[[#This Row],[Duration]]&lt;=10,"Under 10 mins", calls[[#This Row],[Duration]]&lt;=30, "10 to 30 mins", calls[[#This Row],[Duration]]&lt;=60, "30 to 60 mins", calls[[#This Row],[Duration]]&lt;=120, "1 to 2 hours", TRUE, "More than 2 hours")</f>
        <v>1 to 2 hours</v>
      </c>
      <c r="K704">
        <f>ROUND(calls[[#This Row],[Satisfaction Rating]],0)</f>
        <v>3</v>
      </c>
    </row>
    <row r="705" spans="1:11" ht="13.8" x14ac:dyDescent="0.25">
      <c r="A705" t="s">
        <v>734</v>
      </c>
      <c r="B705" t="s">
        <v>64</v>
      </c>
      <c r="C705">
        <v>84</v>
      </c>
      <c r="D705" s="4" t="s">
        <v>18</v>
      </c>
      <c r="E705" s="5">
        <v>45172</v>
      </c>
      <c r="F705">
        <v>72</v>
      </c>
      <c r="G705">
        <v>4</v>
      </c>
      <c r="H705">
        <f>IF(MONTH(calls[[#This Row],[Date of Call]])&lt;=6, YEAR(calls[[#This Row],[Date of Call]]), YEAR(calls[[#This Row],[Date of Call]])+1)</f>
        <v>2024</v>
      </c>
      <c r="I705" t="str">
        <f>TEXT(calls[[#This Row],[Date of Call]],"DDDD")</f>
        <v>Sunday</v>
      </c>
      <c r="J705" t="str">
        <f t="array" ref="J705">_xlfn.IFS(calls[[#This Row],[Duration]]&lt;=10,"Under 10 mins", calls[[#This Row],[Duration]]&lt;=30, "10 to 30 mins", calls[[#This Row],[Duration]]&lt;=60, "30 to 60 mins", calls[[#This Row],[Duration]]&lt;=120, "1 to 2 hours", TRUE, "More than 2 hours")</f>
        <v>1 to 2 hours</v>
      </c>
      <c r="K705">
        <f>ROUND(calls[[#This Row],[Satisfaction Rating]],0)</f>
        <v>4</v>
      </c>
    </row>
    <row r="706" spans="1:11" ht="13.8" x14ac:dyDescent="0.25">
      <c r="A706" t="s">
        <v>735</v>
      </c>
      <c r="B706" t="s">
        <v>43</v>
      </c>
      <c r="C706">
        <v>111</v>
      </c>
      <c r="D706" s="4" t="s">
        <v>18</v>
      </c>
      <c r="E706" s="5">
        <v>45172</v>
      </c>
      <c r="F706">
        <v>63</v>
      </c>
      <c r="G706">
        <v>4.5</v>
      </c>
      <c r="H706">
        <f>IF(MONTH(calls[[#This Row],[Date of Call]])&lt;=6, YEAR(calls[[#This Row],[Date of Call]]), YEAR(calls[[#This Row],[Date of Call]])+1)</f>
        <v>2024</v>
      </c>
      <c r="I706" t="str">
        <f>TEXT(calls[[#This Row],[Date of Call]],"DDDD")</f>
        <v>Sunday</v>
      </c>
      <c r="J706" t="str">
        <f t="array" ref="J706">_xlfn.IFS(calls[[#This Row],[Duration]]&lt;=10,"Under 10 mins", calls[[#This Row],[Duration]]&lt;=30, "10 to 30 mins", calls[[#This Row],[Duration]]&lt;=60, "30 to 60 mins", calls[[#This Row],[Duration]]&lt;=120, "1 to 2 hours", TRUE, "More than 2 hours")</f>
        <v>1 to 2 hours</v>
      </c>
      <c r="K706">
        <f>ROUND(calls[[#This Row],[Satisfaction Rating]],0)</f>
        <v>5</v>
      </c>
    </row>
    <row r="707" spans="1:11" ht="13.8" x14ac:dyDescent="0.25">
      <c r="A707" t="s">
        <v>736</v>
      </c>
      <c r="B707" t="s">
        <v>43</v>
      </c>
      <c r="C707">
        <v>103</v>
      </c>
      <c r="D707" s="4" t="s">
        <v>13</v>
      </c>
      <c r="E707" s="5">
        <v>45173</v>
      </c>
      <c r="F707">
        <v>44</v>
      </c>
      <c r="G707">
        <v>4.5</v>
      </c>
      <c r="H707">
        <f>IF(MONTH(calls[[#This Row],[Date of Call]])&lt;=6, YEAR(calls[[#This Row],[Date of Call]]), YEAR(calls[[#This Row],[Date of Call]])+1)</f>
        <v>2024</v>
      </c>
      <c r="I707" t="str">
        <f>TEXT(calls[[#This Row],[Date of Call]],"DDDD")</f>
        <v>Monday</v>
      </c>
      <c r="J707" t="str">
        <f t="array" ref="J707">_xlfn.IFS(calls[[#This Row],[Duration]]&lt;=10,"Under 10 mins", calls[[#This Row],[Duration]]&lt;=30, "10 to 30 mins", calls[[#This Row],[Duration]]&lt;=60, "30 to 60 mins", calls[[#This Row],[Duration]]&lt;=120, "1 to 2 hours", TRUE, "More than 2 hours")</f>
        <v>1 to 2 hours</v>
      </c>
      <c r="K707">
        <f>ROUND(calls[[#This Row],[Satisfaction Rating]],0)</f>
        <v>5</v>
      </c>
    </row>
    <row r="708" spans="1:11" ht="13.8" x14ac:dyDescent="0.25">
      <c r="A708" t="s">
        <v>737</v>
      </c>
      <c r="B708" t="s">
        <v>12</v>
      </c>
      <c r="C708">
        <v>61</v>
      </c>
      <c r="D708" s="4" t="s">
        <v>23</v>
      </c>
      <c r="E708" s="5">
        <v>45173</v>
      </c>
      <c r="F708">
        <v>132</v>
      </c>
      <c r="G708">
        <v>4.9000000000000004</v>
      </c>
      <c r="H708">
        <f>IF(MONTH(calls[[#This Row],[Date of Call]])&lt;=6, YEAR(calls[[#This Row],[Date of Call]]), YEAR(calls[[#This Row],[Date of Call]])+1)</f>
        <v>2024</v>
      </c>
      <c r="I708" t="str">
        <f>TEXT(calls[[#This Row],[Date of Call]],"DDDD")</f>
        <v>Monday</v>
      </c>
      <c r="J708" t="str">
        <f t="array" ref="J708">_xlfn.IFS(calls[[#This Row],[Duration]]&lt;=10,"Under 10 mins", calls[[#This Row],[Duration]]&lt;=30, "10 to 30 mins", calls[[#This Row],[Duration]]&lt;=60, "30 to 60 mins", calls[[#This Row],[Duration]]&lt;=120, "1 to 2 hours", TRUE, "More than 2 hours")</f>
        <v>1 to 2 hours</v>
      </c>
      <c r="K708">
        <f>ROUND(calls[[#This Row],[Satisfaction Rating]],0)</f>
        <v>5</v>
      </c>
    </row>
    <row r="709" spans="1:11" ht="13.8" x14ac:dyDescent="0.25">
      <c r="A709" t="s">
        <v>738</v>
      </c>
      <c r="B709" t="s">
        <v>54</v>
      </c>
      <c r="C709">
        <v>113</v>
      </c>
      <c r="D709" s="4" t="s">
        <v>28</v>
      </c>
      <c r="E709" s="5">
        <v>45173</v>
      </c>
      <c r="F709">
        <v>46</v>
      </c>
      <c r="G709">
        <v>4.4000000000000004</v>
      </c>
      <c r="H709">
        <f>IF(MONTH(calls[[#This Row],[Date of Call]])&lt;=6, YEAR(calls[[#This Row],[Date of Call]]), YEAR(calls[[#This Row],[Date of Call]])+1)</f>
        <v>2024</v>
      </c>
      <c r="I709" t="str">
        <f>TEXT(calls[[#This Row],[Date of Call]],"DDDD")</f>
        <v>Monday</v>
      </c>
      <c r="J709" t="str">
        <f t="array" ref="J709">_xlfn.IFS(calls[[#This Row],[Duration]]&lt;=10,"Under 10 mins", calls[[#This Row],[Duration]]&lt;=30, "10 to 30 mins", calls[[#This Row],[Duration]]&lt;=60, "30 to 60 mins", calls[[#This Row],[Duration]]&lt;=120, "1 to 2 hours", TRUE, "More than 2 hours")</f>
        <v>1 to 2 hours</v>
      </c>
      <c r="K709">
        <f>ROUND(calls[[#This Row],[Satisfaction Rating]],0)</f>
        <v>4</v>
      </c>
    </row>
    <row r="710" spans="1:11" ht="13.8" x14ac:dyDescent="0.25">
      <c r="A710" t="s">
        <v>739</v>
      </c>
      <c r="B710" t="s">
        <v>54</v>
      </c>
      <c r="C710">
        <v>96</v>
      </c>
      <c r="D710" s="4" t="s">
        <v>28</v>
      </c>
      <c r="E710" s="5">
        <v>45173</v>
      </c>
      <c r="F710">
        <v>96</v>
      </c>
      <c r="G710">
        <v>2.9</v>
      </c>
      <c r="H710">
        <f>IF(MONTH(calls[[#This Row],[Date of Call]])&lt;=6, YEAR(calls[[#This Row],[Date of Call]]), YEAR(calls[[#This Row],[Date of Call]])+1)</f>
        <v>2024</v>
      </c>
      <c r="I710" t="str">
        <f>TEXT(calls[[#This Row],[Date of Call]],"DDDD")</f>
        <v>Monday</v>
      </c>
      <c r="J710" t="str">
        <f t="array" ref="J710">_xlfn.IFS(calls[[#This Row],[Duration]]&lt;=10,"Under 10 mins", calls[[#This Row],[Duration]]&lt;=30, "10 to 30 mins", calls[[#This Row],[Duration]]&lt;=60, "30 to 60 mins", calls[[#This Row],[Duration]]&lt;=120, "1 to 2 hours", TRUE, "More than 2 hours")</f>
        <v>1 to 2 hours</v>
      </c>
      <c r="K710">
        <f>ROUND(calls[[#This Row],[Satisfaction Rating]],0)</f>
        <v>3</v>
      </c>
    </row>
    <row r="711" spans="1:11" ht="13.8" x14ac:dyDescent="0.25">
      <c r="A711" t="s">
        <v>740</v>
      </c>
      <c r="B711" t="s">
        <v>37</v>
      </c>
      <c r="C711">
        <v>131</v>
      </c>
      <c r="D711" s="4" t="s">
        <v>13</v>
      </c>
      <c r="E711" s="5">
        <v>45174</v>
      </c>
      <c r="F711">
        <v>75</v>
      </c>
      <c r="G711">
        <v>4.4000000000000004</v>
      </c>
      <c r="H711">
        <f>IF(MONTH(calls[[#This Row],[Date of Call]])&lt;=6, YEAR(calls[[#This Row],[Date of Call]]), YEAR(calls[[#This Row],[Date of Call]])+1)</f>
        <v>2024</v>
      </c>
      <c r="I711" t="str">
        <f>TEXT(calls[[#This Row],[Date of Call]],"DDDD")</f>
        <v>Tuesday</v>
      </c>
      <c r="J711" t="str">
        <f t="array" ref="J711">_xlfn.IFS(calls[[#This Row],[Duration]]&lt;=10,"Under 10 mins", calls[[#This Row],[Duration]]&lt;=30, "10 to 30 mins", calls[[#This Row],[Duration]]&lt;=60, "30 to 60 mins", calls[[#This Row],[Duration]]&lt;=120, "1 to 2 hours", TRUE, "More than 2 hours")</f>
        <v>More than 2 hours</v>
      </c>
      <c r="K711">
        <f>ROUND(calls[[#This Row],[Satisfaction Rating]],0)</f>
        <v>4</v>
      </c>
    </row>
    <row r="712" spans="1:11" ht="13.8" x14ac:dyDescent="0.25">
      <c r="A712" t="s">
        <v>741</v>
      </c>
      <c r="B712" t="s">
        <v>26</v>
      </c>
      <c r="C712">
        <v>52</v>
      </c>
      <c r="D712" s="4" t="s">
        <v>28</v>
      </c>
      <c r="E712" s="5">
        <v>45175</v>
      </c>
      <c r="F712">
        <v>88</v>
      </c>
      <c r="G712">
        <v>4.3</v>
      </c>
      <c r="H712">
        <f>IF(MONTH(calls[[#This Row],[Date of Call]])&lt;=6, YEAR(calls[[#This Row],[Date of Call]]), YEAR(calls[[#This Row],[Date of Call]])+1)</f>
        <v>2024</v>
      </c>
      <c r="I712" t="str">
        <f>TEXT(calls[[#This Row],[Date of Call]],"DDDD")</f>
        <v>Wednesday</v>
      </c>
      <c r="J712" t="str">
        <f t="array" ref="J712">_xlfn.IFS(calls[[#This Row],[Duration]]&lt;=10,"Under 10 mins", calls[[#This Row],[Duration]]&lt;=30, "10 to 30 mins", calls[[#This Row],[Duration]]&lt;=60, "30 to 60 mins", calls[[#This Row],[Duration]]&lt;=120, "1 to 2 hours", TRUE, "More than 2 hours")</f>
        <v>30 to 60 mins</v>
      </c>
      <c r="K712">
        <f>ROUND(calls[[#This Row],[Satisfaction Rating]],0)</f>
        <v>4</v>
      </c>
    </row>
    <row r="713" spans="1:11" ht="13.8" x14ac:dyDescent="0.25">
      <c r="A713" t="s">
        <v>742</v>
      </c>
      <c r="B713" t="s">
        <v>15</v>
      </c>
      <c r="C713">
        <v>100</v>
      </c>
      <c r="D713" s="4" t="s">
        <v>13</v>
      </c>
      <c r="E713" s="5">
        <v>45175</v>
      </c>
      <c r="F713">
        <v>24</v>
      </c>
      <c r="G713">
        <v>4.7</v>
      </c>
      <c r="H713">
        <f>IF(MONTH(calls[[#This Row],[Date of Call]])&lt;=6, YEAR(calls[[#This Row],[Date of Call]]), YEAR(calls[[#This Row],[Date of Call]])+1)</f>
        <v>2024</v>
      </c>
      <c r="I713" t="str">
        <f>TEXT(calls[[#This Row],[Date of Call]],"DDDD")</f>
        <v>Wednesday</v>
      </c>
      <c r="J713" t="str">
        <f t="array" ref="J713">_xlfn.IFS(calls[[#This Row],[Duration]]&lt;=10,"Under 10 mins", calls[[#This Row],[Duration]]&lt;=30, "10 to 30 mins", calls[[#This Row],[Duration]]&lt;=60, "30 to 60 mins", calls[[#This Row],[Duration]]&lt;=120, "1 to 2 hours", TRUE, "More than 2 hours")</f>
        <v>1 to 2 hours</v>
      </c>
      <c r="K713">
        <f>ROUND(calls[[#This Row],[Satisfaction Rating]],0)</f>
        <v>5</v>
      </c>
    </row>
    <row r="714" spans="1:11" ht="13.8" x14ac:dyDescent="0.25">
      <c r="A714" t="s">
        <v>743</v>
      </c>
      <c r="B714" t="s">
        <v>20</v>
      </c>
      <c r="C714">
        <v>58</v>
      </c>
      <c r="D714" s="4" t="s">
        <v>32</v>
      </c>
      <c r="E714" s="5">
        <v>45175</v>
      </c>
      <c r="F714">
        <v>96</v>
      </c>
      <c r="G714">
        <v>3.2</v>
      </c>
      <c r="H714">
        <f>IF(MONTH(calls[[#This Row],[Date of Call]])&lt;=6, YEAR(calls[[#This Row],[Date of Call]]), YEAR(calls[[#This Row],[Date of Call]])+1)</f>
        <v>2024</v>
      </c>
      <c r="I714" t="str">
        <f>TEXT(calls[[#This Row],[Date of Call]],"DDDD")</f>
        <v>Wednesday</v>
      </c>
      <c r="J714" t="str">
        <f t="array" ref="J714">_xlfn.IFS(calls[[#This Row],[Duration]]&lt;=10,"Under 10 mins", calls[[#This Row],[Duration]]&lt;=30, "10 to 30 mins", calls[[#This Row],[Duration]]&lt;=60, "30 to 60 mins", calls[[#This Row],[Duration]]&lt;=120, "1 to 2 hours", TRUE, "More than 2 hours")</f>
        <v>30 to 60 mins</v>
      </c>
      <c r="K714">
        <f>ROUND(calls[[#This Row],[Satisfaction Rating]],0)</f>
        <v>3</v>
      </c>
    </row>
    <row r="715" spans="1:11" ht="13.8" x14ac:dyDescent="0.25">
      <c r="A715" t="s">
        <v>744</v>
      </c>
      <c r="B715" t="s">
        <v>22</v>
      </c>
      <c r="C715">
        <v>144</v>
      </c>
      <c r="D715" s="4" t="s">
        <v>32</v>
      </c>
      <c r="E715" s="5">
        <v>45176</v>
      </c>
      <c r="F715">
        <v>124</v>
      </c>
      <c r="G715">
        <v>2.2999999999999998</v>
      </c>
      <c r="H715">
        <f>IF(MONTH(calls[[#This Row],[Date of Call]])&lt;=6, YEAR(calls[[#This Row],[Date of Call]]), YEAR(calls[[#This Row],[Date of Call]])+1)</f>
        <v>2024</v>
      </c>
      <c r="I715" t="str">
        <f>TEXT(calls[[#This Row],[Date of Call]],"DDDD")</f>
        <v>Thursday</v>
      </c>
      <c r="J715" t="str">
        <f t="array" ref="J715">_xlfn.IFS(calls[[#This Row],[Duration]]&lt;=10,"Under 10 mins", calls[[#This Row],[Duration]]&lt;=30, "10 to 30 mins", calls[[#This Row],[Duration]]&lt;=60, "30 to 60 mins", calls[[#This Row],[Duration]]&lt;=120, "1 to 2 hours", TRUE, "More than 2 hours")</f>
        <v>More than 2 hours</v>
      </c>
      <c r="K715">
        <f>ROUND(calls[[#This Row],[Satisfaction Rating]],0)</f>
        <v>2</v>
      </c>
    </row>
    <row r="716" spans="1:11" ht="13.8" x14ac:dyDescent="0.25">
      <c r="A716" t="s">
        <v>745</v>
      </c>
      <c r="B716" t="s">
        <v>20</v>
      </c>
      <c r="C716">
        <v>53</v>
      </c>
      <c r="D716" s="4" t="s">
        <v>23</v>
      </c>
      <c r="E716" s="5">
        <v>45177</v>
      </c>
      <c r="F716">
        <v>130</v>
      </c>
      <c r="G716">
        <v>3.6</v>
      </c>
      <c r="H716">
        <f>IF(MONTH(calls[[#This Row],[Date of Call]])&lt;=6, YEAR(calls[[#This Row],[Date of Call]]), YEAR(calls[[#This Row],[Date of Call]])+1)</f>
        <v>2024</v>
      </c>
      <c r="I716" t="str">
        <f>TEXT(calls[[#This Row],[Date of Call]],"DDDD")</f>
        <v>Friday</v>
      </c>
      <c r="J716" t="str">
        <f t="array" ref="J716">_xlfn.IFS(calls[[#This Row],[Duration]]&lt;=10,"Under 10 mins", calls[[#This Row],[Duration]]&lt;=30, "10 to 30 mins", calls[[#This Row],[Duration]]&lt;=60, "30 to 60 mins", calls[[#This Row],[Duration]]&lt;=120, "1 to 2 hours", TRUE, "More than 2 hours")</f>
        <v>30 to 60 mins</v>
      </c>
      <c r="K716">
        <f>ROUND(calls[[#This Row],[Satisfaction Rating]],0)</f>
        <v>4</v>
      </c>
    </row>
    <row r="717" spans="1:11" ht="13.8" x14ac:dyDescent="0.25">
      <c r="A717" t="s">
        <v>746</v>
      </c>
      <c r="B717" t="s">
        <v>54</v>
      </c>
      <c r="C717">
        <v>97</v>
      </c>
      <c r="D717" s="4" t="s">
        <v>18</v>
      </c>
      <c r="E717" s="5">
        <v>45177</v>
      </c>
      <c r="F717">
        <v>45</v>
      </c>
      <c r="G717">
        <v>4.5999999999999996</v>
      </c>
      <c r="H717">
        <f>IF(MONTH(calls[[#This Row],[Date of Call]])&lt;=6, YEAR(calls[[#This Row],[Date of Call]]), YEAR(calls[[#This Row],[Date of Call]])+1)</f>
        <v>2024</v>
      </c>
      <c r="I717" t="str">
        <f>TEXT(calls[[#This Row],[Date of Call]],"DDDD")</f>
        <v>Friday</v>
      </c>
      <c r="J717" t="str">
        <f t="array" ref="J717">_xlfn.IFS(calls[[#This Row],[Duration]]&lt;=10,"Under 10 mins", calls[[#This Row],[Duration]]&lt;=30, "10 to 30 mins", calls[[#This Row],[Duration]]&lt;=60, "30 to 60 mins", calls[[#This Row],[Duration]]&lt;=120, "1 to 2 hours", TRUE, "More than 2 hours")</f>
        <v>1 to 2 hours</v>
      </c>
      <c r="K717">
        <f>ROUND(calls[[#This Row],[Satisfaction Rating]],0)</f>
        <v>5</v>
      </c>
    </row>
    <row r="718" spans="1:11" ht="13.8" x14ac:dyDescent="0.25">
      <c r="A718" t="s">
        <v>747</v>
      </c>
      <c r="B718" t="s">
        <v>17</v>
      </c>
      <c r="C718">
        <v>64</v>
      </c>
      <c r="D718" s="4" t="s">
        <v>32</v>
      </c>
      <c r="E718" s="5">
        <v>45177</v>
      </c>
      <c r="F718">
        <v>66</v>
      </c>
      <c r="G718">
        <v>4</v>
      </c>
      <c r="H718">
        <f>IF(MONTH(calls[[#This Row],[Date of Call]])&lt;=6, YEAR(calls[[#This Row],[Date of Call]]), YEAR(calls[[#This Row],[Date of Call]])+1)</f>
        <v>2024</v>
      </c>
      <c r="I718" t="str">
        <f>TEXT(calls[[#This Row],[Date of Call]],"DDDD")</f>
        <v>Friday</v>
      </c>
      <c r="J718" t="str">
        <f t="array" ref="J718">_xlfn.IFS(calls[[#This Row],[Duration]]&lt;=10,"Under 10 mins", calls[[#This Row],[Duration]]&lt;=30, "10 to 30 mins", calls[[#This Row],[Duration]]&lt;=60, "30 to 60 mins", calls[[#This Row],[Duration]]&lt;=120, "1 to 2 hours", TRUE, "More than 2 hours")</f>
        <v>1 to 2 hours</v>
      </c>
      <c r="K718">
        <f>ROUND(calls[[#This Row],[Satisfaction Rating]],0)</f>
        <v>4</v>
      </c>
    </row>
    <row r="719" spans="1:11" ht="13.8" x14ac:dyDescent="0.25">
      <c r="A719" t="s">
        <v>748</v>
      </c>
      <c r="B719" t="s">
        <v>12</v>
      </c>
      <c r="C719">
        <v>106</v>
      </c>
      <c r="D719" s="4" t="s">
        <v>13</v>
      </c>
      <c r="E719" s="5">
        <v>45177</v>
      </c>
      <c r="F719">
        <v>58</v>
      </c>
      <c r="G719">
        <v>4.7</v>
      </c>
      <c r="H719">
        <f>IF(MONTH(calls[[#This Row],[Date of Call]])&lt;=6, YEAR(calls[[#This Row],[Date of Call]]), YEAR(calls[[#This Row],[Date of Call]])+1)</f>
        <v>2024</v>
      </c>
      <c r="I719" t="str">
        <f>TEXT(calls[[#This Row],[Date of Call]],"DDDD")</f>
        <v>Friday</v>
      </c>
      <c r="J719" t="str">
        <f t="array" ref="J719">_xlfn.IFS(calls[[#This Row],[Duration]]&lt;=10,"Under 10 mins", calls[[#This Row],[Duration]]&lt;=30, "10 to 30 mins", calls[[#This Row],[Duration]]&lt;=60, "30 to 60 mins", calls[[#This Row],[Duration]]&lt;=120, "1 to 2 hours", TRUE, "More than 2 hours")</f>
        <v>1 to 2 hours</v>
      </c>
      <c r="K719">
        <f>ROUND(calls[[#This Row],[Satisfaction Rating]],0)</f>
        <v>5</v>
      </c>
    </row>
    <row r="720" spans="1:11" ht="13.8" x14ac:dyDescent="0.25">
      <c r="A720" t="s">
        <v>749</v>
      </c>
      <c r="B720" t="s">
        <v>64</v>
      </c>
      <c r="C720">
        <v>36</v>
      </c>
      <c r="D720" s="4" t="s">
        <v>32</v>
      </c>
      <c r="E720" s="5">
        <v>45178</v>
      </c>
      <c r="F720">
        <v>152</v>
      </c>
      <c r="G720">
        <v>4.3</v>
      </c>
      <c r="H720">
        <f>IF(MONTH(calls[[#This Row],[Date of Call]])&lt;=6, YEAR(calls[[#This Row],[Date of Call]]), YEAR(calls[[#This Row],[Date of Call]])+1)</f>
        <v>2024</v>
      </c>
      <c r="I720" t="str">
        <f>TEXT(calls[[#This Row],[Date of Call]],"DDDD")</f>
        <v>Saturday</v>
      </c>
      <c r="J720" t="str">
        <f t="array" ref="J720">_xlfn.IFS(calls[[#This Row],[Duration]]&lt;=10,"Under 10 mins", calls[[#This Row],[Duration]]&lt;=30, "10 to 30 mins", calls[[#This Row],[Duration]]&lt;=60, "30 to 60 mins", calls[[#This Row],[Duration]]&lt;=120, "1 to 2 hours", TRUE, "More than 2 hours")</f>
        <v>30 to 60 mins</v>
      </c>
      <c r="K720">
        <f>ROUND(calls[[#This Row],[Satisfaction Rating]],0)</f>
        <v>4</v>
      </c>
    </row>
    <row r="721" spans="1:11" ht="13.8" x14ac:dyDescent="0.25">
      <c r="A721" t="s">
        <v>750</v>
      </c>
      <c r="B721" t="s">
        <v>22</v>
      </c>
      <c r="C721">
        <v>74</v>
      </c>
      <c r="D721" s="4" t="s">
        <v>28</v>
      </c>
      <c r="E721" s="5">
        <v>45178</v>
      </c>
      <c r="F721">
        <v>75</v>
      </c>
      <c r="G721">
        <v>2.8</v>
      </c>
      <c r="H721">
        <f>IF(MONTH(calls[[#This Row],[Date of Call]])&lt;=6, YEAR(calls[[#This Row],[Date of Call]]), YEAR(calls[[#This Row],[Date of Call]])+1)</f>
        <v>2024</v>
      </c>
      <c r="I721" t="str">
        <f>TEXT(calls[[#This Row],[Date of Call]],"DDDD")</f>
        <v>Saturday</v>
      </c>
      <c r="J721" t="str">
        <f t="array" ref="J721">_xlfn.IFS(calls[[#This Row],[Duration]]&lt;=10,"Under 10 mins", calls[[#This Row],[Duration]]&lt;=30, "10 to 30 mins", calls[[#This Row],[Duration]]&lt;=60, "30 to 60 mins", calls[[#This Row],[Duration]]&lt;=120, "1 to 2 hours", TRUE, "More than 2 hours")</f>
        <v>1 to 2 hours</v>
      </c>
      <c r="K721">
        <f>ROUND(calls[[#This Row],[Satisfaction Rating]],0)</f>
        <v>3</v>
      </c>
    </row>
    <row r="722" spans="1:11" ht="13.8" x14ac:dyDescent="0.25">
      <c r="A722" t="s">
        <v>751</v>
      </c>
      <c r="B722" t="s">
        <v>46</v>
      </c>
      <c r="C722">
        <v>143</v>
      </c>
      <c r="D722" s="4" t="s">
        <v>18</v>
      </c>
      <c r="E722" s="5">
        <v>45178</v>
      </c>
      <c r="F722">
        <v>78</v>
      </c>
      <c r="G722">
        <v>4</v>
      </c>
      <c r="H722">
        <f>IF(MONTH(calls[[#This Row],[Date of Call]])&lt;=6, YEAR(calls[[#This Row],[Date of Call]]), YEAR(calls[[#This Row],[Date of Call]])+1)</f>
        <v>2024</v>
      </c>
      <c r="I722" t="str">
        <f>TEXT(calls[[#This Row],[Date of Call]],"DDDD")</f>
        <v>Saturday</v>
      </c>
      <c r="J722" t="str">
        <f t="array" ref="J722">_xlfn.IFS(calls[[#This Row],[Duration]]&lt;=10,"Under 10 mins", calls[[#This Row],[Duration]]&lt;=30, "10 to 30 mins", calls[[#This Row],[Duration]]&lt;=60, "30 to 60 mins", calls[[#This Row],[Duration]]&lt;=120, "1 to 2 hours", TRUE, "More than 2 hours")</f>
        <v>More than 2 hours</v>
      </c>
      <c r="K722">
        <f>ROUND(calls[[#This Row],[Satisfaction Rating]],0)</f>
        <v>4</v>
      </c>
    </row>
    <row r="723" spans="1:11" ht="13.8" x14ac:dyDescent="0.25">
      <c r="A723" t="s">
        <v>752</v>
      </c>
      <c r="B723" t="s">
        <v>12</v>
      </c>
      <c r="C723">
        <v>94</v>
      </c>
      <c r="D723" s="4" t="s">
        <v>23</v>
      </c>
      <c r="E723" s="5">
        <v>45178</v>
      </c>
      <c r="F723">
        <v>69</v>
      </c>
      <c r="G723">
        <v>3.9</v>
      </c>
      <c r="H723">
        <f>IF(MONTH(calls[[#This Row],[Date of Call]])&lt;=6, YEAR(calls[[#This Row],[Date of Call]]), YEAR(calls[[#This Row],[Date of Call]])+1)</f>
        <v>2024</v>
      </c>
      <c r="I723" t="str">
        <f>TEXT(calls[[#This Row],[Date of Call]],"DDDD")</f>
        <v>Saturday</v>
      </c>
      <c r="J723" t="str">
        <f t="array" ref="J723">_xlfn.IFS(calls[[#This Row],[Duration]]&lt;=10,"Under 10 mins", calls[[#This Row],[Duration]]&lt;=30, "10 to 30 mins", calls[[#This Row],[Duration]]&lt;=60, "30 to 60 mins", calls[[#This Row],[Duration]]&lt;=120, "1 to 2 hours", TRUE, "More than 2 hours")</f>
        <v>1 to 2 hours</v>
      </c>
      <c r="K723">
        <f>ROUND(calls[[#This Row],[Satisfaction Rating]],0)</f>
        <v>4</v>
      </c>
    </row>
    <row r="724" spans="1:11" ht="13.8" x14ac:dyDescent="0.25">
      <c r="A724" t="s">
        <v>753</v>
      </c>
      <c r="B724" t="s">
        <v>51</v>
      </c>
      <c r="C724">
        <v>124</v>
      </c>
      <c r="D724" s="4" t="s">
        <v>13</v>
      </c>
      <c r="E724" s="5">
        <v>45179</v>
      </c>
      <c r="F724">
        <v>46</v>
      </c>
      <c r="G724">
        <v>3.1</v>
      </c>
      <c r="H724">
        <f>IF(MONTH(calls[[#This Row],[Date of Call]])&lt;=6, YEAR(calls[[#This Row],[Date of Call]]), YEAR(calls[[#This Row],[Date of Call]])+1)</f>
        <v>2024</v>
      </c>
      <c r="I724" t="str">
        <f>TEXT(calls[[#This Row],[Date of Call]],"DDDD")</f>
        <v>Sunday</v>
      </c>
      <c r="J724" t="str">
        <f t="array" ref="J724">_xlfn.IFS(calls[[#This Row],[Duration]]&lt;=10,"Under 10 mins", calls[[#This Row],[Duration]]&lt;=30, "10 to 30 mins", calls[[#This Row],[Duration]]&lt;=60, "30 to 60 mins", calls[[#This Row],[Duration]]&lt;=120, "1 to 2 hours", TRUE, "More than 2 hours")</f>
        <v>More than 2 hours</v>
      </c>
      <c r="K724">
        <f>ROUND(calls[[#This Row],[Satisfaction Rating]],0)</f>
        <v>3</v>
      </c>
    </row>
    <row r="725" spans="1:11" ht="13.8" x14ac:dyDescent="0.25">
      <c r="A725" t="s">
        <v>754</v>
      </c>
      <c r="B725" t="s">
        <v>64</v>
      </c>
      <c r="C725">
        <v>156</v>
      </c>
      <c r="D725" s="4" t="s">
        <v>32</v>
      </c>
      <c r="E725" s="5">
        <v>45179</v>
      </c>
      <c r="F725">
        <v>64</v>
      </c>
      <c r="G725">
        <v>2.7</v>
      </c>
      <c r="H725">
        <f>IF(MONTH(calls[[#This Row],[Date of Call]])&lt;=6, YEAR(calls[[#This Row],[Date of Call]]), YEAR(calls[[#This Row],[Date of Call]])+1)</f>
        <v>2024</v>
      </c>
      <c r="I725" t="str">
        <f>TEXT(calls[[#This Row],[Date of Call]],"DDDD")</f>
        <v>Sunday</v>
      </c>
      <c r="J725" t="str">
        <f t="array" ref="J725">_xlfn.IFS(calls[[#This Row],[Duration]]&lt;=10,"Under 10 mins", calls[[#This Row],[Duration]]&lt;=30, "10 to 30 mins", calls[[#This Row],[Duration]]&lt;=60, "30 to 60 mins", calls[[#This Row],[Duration]]&lt;=120, "1 to 2 hours", TRUE, "More than 2 hours")</f>
        <v>More than 2 hours</v>
      </c>
      <c r="K725">
        <f>ROUND(calls[[#This Row],[Satisfaction Rating]],0)</f>
        <v>3</v>
      </c>
    </row>
    <row r="726" spans="1:11" ht="13.8" x14ac:dyDescent="0.25">
      <c r="A726" t="s">
        <v>755</v>
      </c>
      <c r="B726" t="s">
        <v>31</v>
      </c>
      <c r="C726">
        <v>107</v>
      </c>
      <c r="D726" s="4" t="s">
        <v>18</v>
      </c>
      <c r="E726" s="5">
        <v>45179</v>
      </c>
      <c r="F726">
        <v>38</v>
      </c>
      <c r="G726">
        <v>4.7</v>
      </c>
      <c r="H726">
        <f>IF(MONTH(calls[[#This Row],[Date of Call]])&lt;=6, YEAR(calls[[#This Row],[Date of Call]]), YEAR(calls[[#This Row],[Date of Call]])+1)</f>
        <v>2024</v>
      </c>
      <c r="I726" t="str">
        <f>TEXT(calls[[#This Row],[Date of Call]],"DDDD")</f>
        <v>Sunday</v>
      </c>
      <c r="J726" t="str">
        <f t="array" ref="J726">_xlfn.IFS(calls[[#This Row],[Duration]]&lt;=10,"Under 10 mins", calls[[#This Row],[Duration]]&lt;=30, "10 to 30 mins", calls[[#This Row],[Duration]]&lt;=60, "30 to 60 mins", calls[[#This Row],[Duration]]&lt;=120, "1 to 2 hours", TRUE, "More than 2 hours")</f>
        <v>1 to 2 hours</v>
      </c>
      <c r="K726">
        <f>ROUND(calls[[#This Row],[Satisfaction Rating]],0)</f>
        <v>5</v>
      </c>
    </row>
    <row r="727" spans="1:11" ht="13.8" x14ac:dyDescent="0.25">
      <c r="A727" t="s">
        <v>756</v>
      </c>
      <c r="B727" t="s">
        <v>12</v>
      </c>
      <c r="C727">
        <v>58</v>
      </c>
      <c r="D727" s="4" t="s">
        <v>18</v>
      </c>
      <c r="E727" s="5">
        <v>45181</v>
      </c>
      <c r="F727">
        <v>90</v>
      </c>
      <c r="G727">
        <v>4.3</v>
      </c>
      <c r="H727">
        <f>IF(MONTH(calls[[#This Row],[Date of Call]])&lt;=6, YEAR(calls[[#This Row],[Date of Call]]), YEAR(calls[[#This Row],[Date of Call]])+1)</f>
        <v>2024</v>
      </c>
      <c r="I727" t="str">
        <f>TEXT(calls[[#This Row],[Date of Call]],"DDDD")</f>
        <v>Tuesday</v>
      </c>
      <c r="J727" t="str">
        <f t="array" ref="J727">_xlfn.IFS(calls[[#This Row],[Duration]]&lt;=10,"Under 10 mins", calls[[#This Row],[Duration]]&lt;=30, "10 to 30 mins", calls[[#This Row],[Duration]]&lt;=60, "30 to 60 mins", calls[[#This Row],[Duration]]&lt;=120, "1 to 2 hours", TRUE, "More than 2 hours")</f>
        <v>30 to 60 mins</v>
      </c>
      <c r="K727">
        <f>ROUND(calls[[#This Row],[Satisfaction Rating]],0)</f>
        <v>4</v>
      </c>
    </row>
    <row r="728" spans="1:11" ht="13.8" x14ac:dyDescent="0.25">
      <c r="A728" t="s">
        <v>757</v>
      </c>
      <c r="B728" t="s">
        <v>35</v>
      </c>
      <c r="C728">
        <v>66</v>
      </c>
      <c r="D728" s="4" t="s">
        <v>18</v>
      </c>
      <c r="E728" s="5">
        <v>45181</v>
      </c>
      <c r="F728">
        <v>32</v>
      </c>
      <c r="G728">
        <v>3.8</v>
      </c>
      <c r="H728">
        <f>IF(MONTH(calls[[#This Row],[Date of Call]])&lt;=6, YEAR(calls[[#This Row],[Date of Call]]), YEAR(calls[[#This Row],[Date of Call]])+1)</f>
        <v>2024</v>
      </c>
      <c r="I728" t="str">
        <f>TEXT(calls[[#This Row],[Date of Call]],"DDDD")</f>
        <v>Tuesday</v>
      </c>
      <c r="J728" t="str">
        <f t="array" ref="J728">_xlfn.IFS(calls[[#This Row],[Duration]]&lt;=10,"Under 10 mins", calls[[#This Row],[Duration]]&lt;=30, "10 to 30 mins", calls[[#This Row],[Duration]]&lt;=60, "30 to 60 mins", calls[[#This Row],[Duration]]&lt;=120, "1 to 2 hours", TRUE, "More than 2 hours")</f>
        <v>1 to 2 hours</v>
      </c>
      <c r="K728">
        <f>ROUND(calls[[#This Row],[Satisfaction Rating]],0)</f>
        <v>4</v>
      </c>
    </row>
    <row r="729" spans="1:11" ht="13.8" x14ac:dyDescent="0.25">
      <c r="A729" t="s">
        <v>758</v>
      </c>
      <c r="B729" t="s">
        <v>37</v>
      </c>
      <c r="C729">
        <v>75</v>
      </c>
      <c r="D729" s="4" t="s">
        <v>32</v>
      </c>
      <c r="E729" s="5">
        <v>45181</v>
      </c>
      <c r="F729">
        <v>120</v>
      </c>
      <c r="G729">
        <v>4.4000000000000004</v>
      </c>
      <c r="H729">
        <f>IF(MONTH(calls[[#This Row],[Date of Call]])&lt;=6, YEAR(calls[[#This Row],[Date of Call]]), YEAR(calls[[#This Row],[Date of Call]])+1)</f>
        <v>2024</v>
      </c>
      <c r="I729" t="str">
        <f>TEXT(calls[[#This Row],[Date of Call]],"DDDD")</f>
        <v>Tuesday</v>
      </c>
      <c r="J729" t="str">
        <f t="array" ref="J729">_xlfn.IFS(calls[[#This Row],[Duration]]&lt;=10,"Under 10 mins", calls[[#This Row],[Duration]]&lt;=30, "10 to 30 mins", calls[[#This Row],[Duration]]&lt;=60, "30 to 60 mins", calls[[#This Row],[Duration]]&lt;=120, "1 to 2 hours", TRUE, "More than 2 hours")</f>
        <v>1 to 2 hours</v>
      </c>
      <c r="K729">
        <f>ROUND(calls[[#This Row],[Satisfaction Rating]],0)</f>
        <v>4</v>
      </c>
    </row>
    <row r="730" spans="1:11" ht="13.8" x14ac:dyDescent="0.25">
      <c r="A730" t="s">
        <v>759</v>
      </c>
      <c r="B730" t="s">
        <v>31</v>
      </c>
      <c r="C730">
        <v>8</v>
      </c>
      <c r="D730" s="4" t="s">
        <v>18</v>
      </c>
      <c r="E730" s="5">
        <v>45181</v>
      </c>
      <c r="F730">
        <v>31</v>
      </c>
      <c r="G730">
        <v>3.9</v>
      </c>
      <c r="H730">
        <f>IF(MONTH(calls[[#This Row],[Date of Call]])&lt;=6, YEAR(calls[[#This Row],[Date of Call]]), YEAR(calls[[#This Row],[Date of Call]])+1)</f>
        <v>2024</v>
      </c>
      <c r="I730" t="str">
        <f>TEXT(calls[[#This Row],[Date of Call]],"DDDD")</f>
        <v>Tuesday</v>
      </c>
      <c r="J730" t="str">
        <f t="array" ref="J730">_xlfn.IFS(calls[[#This Row],[Duration]]&lt;=10,"Under 10 mins", calls[[#This Row],[Duration]]&lt;=30, "10 to 30 mins", calls[[#This Row],[Duration]]&lt;=60, "30 to 60 mins", calls[[#This Row],[Duration]]&lt;=120, "1 to 2 hours", TRUE, "More than 2 hours")</f>
        <v>Under 10 mins</v>
      </c>
      <c r="K730">
        <f>ROUND(calls[[#This Row],[Satisfaction Rating]],0)</f>
        <v>4</v>
      </c>
    </row>
    <row r="731" spans="1:11" ht="13.8" x14ac:dyDescent="0.25">
      <c r="A731" t="s">
        <v>760</v>
      </c>
      <c r="B731" t="s">
        <v>17</v>
      </c>
      <c r="C731">
        <v>76</v>
      </c>
      <c r="D731" s="4" t="s">
        <v>32</v>
      </c>
      <c r="E731" s="5">
        <v>45182</v>
      </c>
      <c r="F731">
        <v>108</v>
      </c>
      <c r="G731">
        <v>4.9000000000000004</v>
      </c>
      <c r="H731">
        <f>IF(MONTH(calls[[#This Row],[Date of Call]])&lt;=6, YEAR(calls[[#This Row],[Date of Call]]), YEAR(calls[[#This Row],[Date of Call]])+1)</f>
        <v>2024</v>
      </c>
      <c r="I731" t="str">
        <f>TEXT(calls[[#This Row],[Date of Call]],"DDDD")</f>
        <v>Wednesday</v>
      </c>
      <c r="J731" t="str">
        <f t="array" ref="J731">_xlfn.IFS(calls[[#This Row],[Duration]]&lt;=10,"Under 10 mins", calls[[#This Row],[Duration]]&lt;=30, "10 to 30 mins", calls[[#This Row],[Duration]]&lt;=60, "30 to 60 mins", calls[[#This Row],[Duration]]&lt;=120, "1 to 2 hours", TRUE, "More than 2 hours")</f>
        <v>1 to 2 hours</v>
      </c>
      <c r="K731">
        <f>ROUND(calls[[#This Row],[Satisfaction Rating]],0)</f>
        <v>5</v>
      </c>
    </row>
    <row r="732" spans="1:11" ht="13.8" x14ac:dyDescent="0.25">
      <c r="A732" t="s">
        <v>761</v>
      </c>
      <c r="B732" t="s">
        <v>12</v>
      </c>
      <c r="C732">
        <v>110</v>
      </c>
      <c r="D732" s="4" t="s">
        <v>32</v>
      </c>
      <c r="E732" s="5">
        <v>45182</v>
      </c>
      <c r="F732">
        <v>180</v>
      </c>
      <c r="G732">
        <v>4.2</v>
      </c>
      <c r="H732">
        <f>IF(MONTH(calls[[#This Row],[Date of Call]])&lt;=6, YEAR(calls[[#This Row],[Date of Call]]), YEAR(calls[[#This Row],[Date of Call]])+1)</f>
        <v>2024</v>
      </c>
      <c r="I732" t="str">
        <f>TEXT(calls[[#This Row],[Date of Call]],"DDDD")</f>
        <v>Wednesday</v>
      </c>
      <c r="J732" t="str">
        <f t="array" ref="J732">_xlfn.IFS(calls[[#This Row],[Duration]]&lt;=10,"Under 10 mins", calls[[#This Row],[Duration]]&lt;=30, "10 to 30 mins", calls[[#This Row],[Duration]]&lt;=60, "30 to 60 mins", calls[[#This Row],[Duration]]&lt;=120, "1 to 2 hours", TRUE, "More than 2 hours")</f>
        <v>1 to 2 hours</v>
      </c>
      <c r="K732">
        <f>ROUND(calls[[#This Row],[Satisfaction Rating]],0)</f>
        <v>4</v>
      </c>
    </row>
    <row r="733" spans="1:11" ht="13.8" x14ac:dyDescent="0.25">
      <c r="A733" t="s">
        <v>762</v>
      </c>
      <c r="B733" t="s">
        <v>35</v>
      </c>
      <c r="C733">
        <v>50</v>
      </c>
      <c r="D733" s="4" t="s">
        <v>23</v>
      </c>
      <c r="E733" s="5">
        <v>45183</v>
      </c>
      <c r="F733">
        <v>124</v>
      </c>
      <c r="G733">
        <v>4</v>
      </c>
      <c r="H733">
        <f>IF(MONTH(calls[[#This Row],[Date of Call]])&lt;=6, YEAR(calls[[#This Row],[Date of Call]]), YEAR(calls[[#This Row],[Date of Call]])+1)</f>
        <v>2024</v>
      </c>
      <c r="I733" t="str">
        <f>TEXT(calls[[#This Row],[Date of Call]],"DDDD")</f>
        <v>Thursday</v>
      </c>
      <c r="J733" t="str">
        <f t="array" ref="J733">_xlfn.IFS(calls[[#This Row],[Duration]]&lt;=10,"Under 10 mins", calls[[#This Row],[Duration]]&lt;=30, "10 to 30 mins", calls[[#This Row],[Duration]]&lt;=60, "30 to 60 mins", calls[[#This Row],[Duration]]&lt;=120, "1 to 2 hours", TRUE, "More than 2 hours")</f>
        <v>30 to 60 mins</v>
      </c>
      <c r="K733">
        <f>ROUND(calls[[#This Row],[Satisfaction Rating]],0)</f>
        <v>4</v>
      </c>
    </row>
    <row r="734" spans="1:11" ht="13.8" x14ac:dyDescent="0.25">
      <c r="A734" t="s">
        <v>763</v>
      </c>
      <c r="B734" t="s">
        <v>26</v>
      </c>
      <c r="C734">
        <v>78</v>
      </c>
      <c r="D734" s="4" t="s">
        <v>23</v>
      </c>
      <c r="E734" s="5">
        <v>45183</v>
      </c>
      <c r="F734">
        <v>23</v>
      </c>
      <c r="G734">
        <v>4.2</v>
      </c>
      <c r="H734">
        <f>IF(MONTH(calls[[#This Row],[Date of Call]])&lt;=6, YEAR(calls[[#This Row],[Date of Call]]), YEAR(calls[[#This Row],[Date of Call]])+1)</f>
        <v>2024</v>
      </c>
      <c r="I734" t="str">
        <f>TEXT(calls[[#This Row],[Date of Call]],"DDDD")</f>
        <v>Thursday</v>
      </c>
      <c r="J734" t="str">
        <f t="array" ref="J734">_xlfn.IFS(calls[[#This Row],[Duration]]&lt;=10,"Under 10 mins", calls[[#This Row],[Duration]]&lt;=30, "10 to 30 mins", calls[[#This Row],[Duration]]&lt;=60, "30 to 60 mins", calls[[#This Row],[Duration]]&lt;=120, "1 to 2 hours", TRUE, "More than 2 hours")</f>
        <v>1 to 2 hours</v>
      </c>
      <c r="K734">
        <f>ROUND(calls[[#This Row],[Satisfaction Rating]],0)</f>
        <v>4</v>
      </c>
    </row>
    <row r="735" spans="1:11" ht="13.8" x14ac:dyDescent="0.25">
      <c r="A735" t="s">
        <v>764</v>
      </c>
      <c r="B735" t="s">
        <v>54</v>
      </c>
      <c r="C735">
        <v>59</v>
      </c>
      <c r="D735" s="4" t="s">
        <v>13</v>
      </c>
      <c r="E735" s="5">
        <v>45184</v>
      </c>
      <c r="F735">
        <v>24</v>
      </c>
      <c r="G735">
        <v>4.8</v>
      </c>
      <c r="H735">
        <f>IF(MONTH(calls[[#This Row],[Date of Call]])&lt;=6, YEAR(calls[[#This Row],[Date of Call]]), YEAR(calls[[#This Row],[Date of Call]])+1)</f>
        <v>2024</v>
      </c>
      <c r="I735" t="str">
        <f>TEXT(calls[[#This Row],[Date of Call]],"DDDD")</f>
        <v>Friday</v>
      </c>
      <c r="J735" t="str">
        <f t="array" ref="J735">_xlfn.IFS(calls[[#This Row],[Duration]]&lt;=10,"Under 10 mins", calls[[#This Row],[Duration]]&lt;=30, "10 to 30 mins", calls[[#This Row],[Duration]]&lt;=60, "30 to 60 mins", calls[[#This Row],[Duration]]&lt;=120, "1 to 2 hours", TRUE, "More than 2 hours")</f>
        <v>30 to 60 mins</v>
      </c>
      <c r="K735">
        <f>ROUND(calls[[#This Row],[Satisfaction Rating]],0)</f>
        <v>5</v>
      </c>
    </row>
    <row r="736" spans="1:11" ht="13.8" x14ac:dyDescent="0.25">
      <c r="A736" t="s">
        <v>765</v>
      </c>
      <c r="B736" t="s">
        <v>26</v>
      </c>
      <c r="C736">
        <v>126</v>
      </c>
      <c r="D736" s="4" t="s">
        <v>18</v>
      </c>
      <c r="E736" s="5">
        <v>45185</v>
      </c>
      <c r="F736">
        <v>52</v>
      </c>
      <c r="G736">
        <v>1.1000000000000001</v>
      </c>
      <c r="H736">
        <f>IF(MONTH(calls[[#This Row],[Date of Call]])&lt;=6, YEAR(calls[[#This Row],[Date of Call]]), YEAR(calls[[#This Row],[Date of Call]])+1)</f>
        <v>2024</v>
      </c>
      <c r="I736" t="str">
        <f>TEXT(calls[[#This Row],[Date of Call]],"DDDD")</f>
        <v>Saturday</v>
      </c>
      <c r="J736" t="str">
        <f t="array" ref="J736">_xlfn.IFS(calls[[#This Row],[Duration]]&lt;=10,"Under 10 mins", calls[[#This Row],[Duration]]&lt;=30, "10 to 30 mins", calls[[#This Row],[Duration]]&lt;=60, "30 to 60 mins", calls[[#This Row],[Duration]]&lt;=120, "1 to 2 hours", TRUE, "More than 2 hours")</f>
        <v>More than 2 hours</v>
      </c>
      <c r="K736">
        <f>ROUND(calls[[#This Row],[Satisfaction Rating]],0)</f>
        <v>1</v>
      </c>
    </row>
    <row r="737" spans="1:11" ht="13.8" x14ac:dyDescent="0.25">
      <c r="A737" t="s">
        <v>766</v>
      </c>
      <c r="B737" t="s">
        <v>17</v>
      </c>
      <c r="C737">
        <v>43</v>
      </c>
      <c r="D737" s="4" t="s">
        <v>13</v>
      </c>
      <c r="E737" s="5">
        <v>45186</v>
      </c>
      <c r="F737">
        <v>168</v>
      </c>
      <c r="G737">
        <v>4</v>
      </c>
      <c r="H737">
        <f>IF(MONTH(calls[[#This Row],[Date of Call]])&lt;=6, YEAR(calls[[#This Row],[Date of Call]]), YEAR(calls[[#This Row],[Date of Call]])+1)</f>
        <v>2024</v>
      </c>
      <c r="I737" t="str">
        <f>TEXT(calls[[#This Row],[Date of Call]],"DDDD")</f>
        <v>Sunday</v>
      </c>
      <c r="J737" t="str">
        <f t="array" ref="J737">_xlfn.IFS(calls[[#This Row],[Duration]]&lt;=10,"Under 10 mins", calls[[#This Row],[Duration]]&lt;=30, "10 to 30 mins", calls[[#This Row],[Duration]]&lt;=60, "30 to 60 mins", calls[[#This Row],[Duration]]&lt;=120, "1 to 2 hours", TRUE, "More than 2 hours")</f>
        <v>30 to 60 mins</v>
      </c>
      <c r="K737">
        <f>ROUND(calls[[#This Row],[Satisfaction Rating]],0)</f>
        <v>4</v>
      </c>
    </row>
    <row r="738" spans="1:11" ht="13.8" x14ac:dyDescent="0.25">
      <c r="A738" t="s">
        <v>767</v>
      </c>
      <c r="B738" t="s">
        <v>64</v>
      </c>
      <c r="C738">
        <v>79</v>
      </c>
      <c r="D738" s="4" t="s">
        <v>32</v>
      </c>
      <c r="E738" s="5">
        <v>45188</v>
      </c>
      <c r="F738">
        <v>125</v>
      </c>
      <c r="G738">
        <v>4.8</v>
      </c>
      <c r="H738">
        <f>IF(MONTH(calls[[#This Row],[Date of Call]])&lt;=6, YEAR(calls[[#This Row],[Date of Call]]), YEAR(calls[[#This Row],[Date of Call]])+1)</f>
        <v>2024</v>
      </c>
      <c r="I738" t="str">
        <f>TEXT(calls[[#This Row],[Date of Call]],"DDDD")</f>
        <v>Tuesday</v>
      </c>
      <c r="J738" t="str">
        <f t="array" ref="J738">_xlfn.IFS(calls[[#This Row],[Duration]]&lt;=10,"Under 10 mins", calls[[#This Row],[Duration]]&lt;=30, "10 to 30 mins", calls[[#This Row],[Duration]]&lt;=60, "30 to 60 mins", calls[[#This Row],[Duration]]&lt;=120, "1 to 2 hours", TRUE, "More than 2 hours")</f>
        <v>1 to 2 hours</v>
      </c>
      <c r="K738">
        <f>ROUND(calls[[#This Row],[Satisfaction Rating]],0)</f>
        <v>5</v>
      </c>
    </row>
    <row r="739" spans="1:11" ht="13.8" x14ac:dyDescent="0.25">
      <c r="A739" t="s">
        <v>768</v>
      </c>
      <c r="B739" t="s">
        <v>12</v>
      </c>
      <c r="C739">
        <v>71</v>
      </c>
      <c r="D739" s="4" t="s">
        <v>13</v>
      </c>
      <c r="E739" s="5">
        <v>45189</v>
      </c>
      <c r="F739">
        <v>50</v>
      </c>
      <c r="G739">
        <v>4.2</v>
      </c>
      <c r="H739">
        <f>IF(MONTH(calls[[#This Row],[Date of Call]])&lt;=6, YEAR(calls[[#This Row],[Date of Call]]), YEAR(calls[[#This Row],[Date of Call]])+1)</f>
        <v>2024</v>
      </c>
      <c r="I739" t="str">
        <f>TEXT(calls[[#This Row],[Date of Call]],"DDDD")</f>
        <v>Wednesday</v>
      </c>
      <c r="J739" t="str">
        <f t="array" ref="J739">_xlfn.IFS(calls[[#This Row],[Duration]]&lt;=10,"Under 10 mins", calls[[#This Row],[Duration]]&lt;=30, "10 to 30 mins", calls[[#This Row],[Duration]]&lt;=60, "30 to 60 mins", calls[[#This Row],[Duration]]&lt;=120, "1 to 2 hours", TRUE, "More than 2 hours")</f>
        <v>1 to 2 hours</v>
      </c>
      <c r="K739">
        <f>ROUND(calls[[#This Row],[Satisfaction Rating]],0)</f>
        <v>4</v>
      </c>
    </row>
    <row r="740" spans="1:11" ht="13.8" x14ac:dyDescent="0.25">
      <c r="A740" t="s">
        <v>769</v>
      </c>
      <c r="B740" t="s">
        <v>43</v>
      </c>
      <c r="C740">
        <v>94</v>
      </c>
      <c r="D740" s="4" t="s">
        <v>18</v>
      </c>
      <c r="E740" s="5">
        <v>45190</v>
      </c>
      <c r="F740">
        <v>220</v>
      </c>
      <c r="G740">
        <v>4.5999999999999996</v>
      </c>
      <c r="H740">
        <f>IF(MONTH(calls[[#This Row],[Date of Call]])&lt;=6, YEAR(calls[[#This Row],[Date of Call]]), YEAR(calls[[#This Row],[Date of Call]])+1)</f>
        <v>2024</v>
      </c>
      <c r="I740" t="str">
        <f>TEXT(calls[[#This Row],[Date of Call]],"DDDD")</f>
        <v>Thursday</v>
      </c>
      <c r="J740" t="str">
        <f t="array" ref="J740">_xlfn.IFS(calls[[#This Row],[Duration]]&lt;=10,"Under 10 mins", calls[[#This Row],[Duration]]&lt;=30, "10 to 30 mins", calls[[#This Row],[Duration]]&lt;=60, "30 to 60 mins", calls[[#This Row],[Duration]]&lt;=120, "1 to 2 hours", TRUE, "More than 2 hours")</f>
        <v>1 to 2 hours</v>
      </c>
      <c r="K740">
        <f>ROUND(calls[[#This Row],[Satisfaction Rating]],0)</f>
        <v>5</v>
      </c>
    </row>
    <row r="741" spans="1:11" ht="13.8" x14ac:dyDescent="0.25">
      <c r="A741" t="s">
        <v>770</v>
      </c>
      <c r="B741" t="s">
        <v>31</v>
      </c>
      <c r="C741">
        <v>108</v>
      </c>
      <c r="D741" s="4" t="s">
        <v>13</v>
      </c>
      <c r="E741" s="5">
        <v>45190</v>
      </c>
      <c r="F741">
        <v>180</v>
      </c>
      <c r="G741">
        <v>4</v>
      </c>
      <c r="H741">
        <f>IF(MONTH(calls[[#This Row],[Date of Call]])&lt;=6, YEAR(calls[[#This Row],[Date of Call]]), YEAR(calls[[#This Row],[Date of Call]])+1)</f>
        <v>2024</v>
      </c>
      <c r="I741" t="str">
        <f>TEXT(calls[[#This Row],[Date of Call]],"DDDD")</f>
        <v>Thursday</v>
      </c>
      <c r="J741" t="str">
        <f t="array" ref="J741">_xlfn.IFS(calls[[#This Row],[Duration]]&lt;=10,"Under 10 mins", calls[[#This Row],[Duration]]&lt;=30, "10 to 30 mins", calls[[#This Row],[Duration]]&lt;=60, "30 to 60 mins", calls[[#This Row],[Duration]]&lt;=120, "1 to 2 hours", TRUE, "More than 2 hours")</f>
        <v>1 to 2 hours</v>
      </c>
      <c r="K741">
        <f>ROUND(calls[[#This Row],[Satisfaction Rating]],0)</f>
        <v>4</v>
      </c>
    </row>
    <row r="742" spans="1:11" ht="13.8" x14ac:dyDescent="0.25">
      <c r="A742" t="s">
        <v>771</v>
      </c>
      <c r="B742" t="s">
        <v>17</v>
      </c>
      <c r="C742">
        <v>76</v>
      </c>
      <c r="D742" s="4" t="s">
        <v>18</v>
      </c>
      <c r="E742" s="5">
        <v>45190</v>
      </c>
      <c r="F742">
        <v>110</v>
      </c>
      <c r="G742">
        <v>3.9</v>
      </c>
      <c r="H742">
        <f>IF(MONTH(calls[[#This Row],[Date of Call]])&lt;=6, YEAR(calls[[#This Row],[Date of Call]]), YEAR(calls[[#This Row],[Date of Call]])+1)</f>
        <v>2024</v>
      </c>
      <c r="I742" t="str">
        <f>TEXT(calls[[#This Row],[Date of Call]],"DDDD")</f>
        <v>Thursday</v>
      </c>
      <c r="J742" t="str">
        <f t="array" ref="J742">_xlfn.IFS(calls[[#This Row],[Duration]]&lt;=10,"Under 10 mins", calls[[#This Row],[Duration]]&lt;=30, "10 to 30 mins", calls[[#This Row],[Duration]]&lt;=60, "30 to 60 mins", calls[[#This Row],[Duration]]&lt;=120, "1 to 2 hours", TRUE, "More than 2 hours")</f>
        <v>1 to 2 hours</v>
      </c>
      <c r="K742">
        <f>ROUND(calls[[#This Row],[Satisfaction Rating]],0)</f>
        <v>4</v>
      </c>
    </row>
    <row r="743" spans="1:11" ht="13.8" x14ac:dyDescent="0.25">
      <c r="A743" t="s">
        <v>772</v>
      </c>
      <c r="B743" t="s">
        <v>54</v>
      </c>
      <c r="C743">
        <v>136</v>
      </c>
      <c r="D743" s="4" t="s">
        <v>13</v>
      </c>
      <c r="E743" s="5">
        <v>45190</v>
      </c>
      <c r="F743">
        <v>36</v>
      </c>
      <c r="G743">
        <v>2.8</v>
      </c>
      <c r="H743">
        <f>IF(MONTH(calls[[#This Row],[Date of Call]])&lt;=6, YEAR(calls[[#This Row],[Date of Call]]), YEAR(calls[[#This Row],[Date of Call]])+1)</f>
        <v>2024</v>
      </c>
      <c r="I743" t="str">
        <f>TEXT(calls[[#This Row],[Date of Call]],"DDDD")</f>
        <v>Thursday</v>
      </c>
      <c r="J743" t="str">
        <f t="array" ref="J743">_xlfn.IFS(calls[[#This Row],[Duration]]&lt;=10,"Under 10 mins", calls[[#This Row],[Duration]]&lt;=30, "10 to 30 mins", calls[[#This Row],[Duration]]&lt;=60, "30 to 60 mins", calls[[#This Row],[Duration]]&lt;=120, "1 to 2 hours", TRUE, "More than 2 hours")</f>
        <v>More than 2 hours</v>
      </c>
      <c r="K743">
        <f>ROUND(calls[[#This Row],[Satisfaction Rating]],0)</f>
        <v>3</v>
      </c>
    </row>
    <row r="744" spans="1:11" ht="13.8" x14ac:dyDescent="0.25">
      <c r="A744" t="s">
        <v>773</v>
      </c>
      <c r="B744" t="s">
        <v>15</v>
      </c>
      <c r="C744">
        <v>129</v>
      </c>
      <c r="D744" s="4" t="s">
        <v>23</v>
      </c>
      <c r="E744" s="5">
        <v>45191</v>
      </c>
      <c r="F744">
        <v>93</v>
      </c>
      <c r="G744">
        <v>4.7</v>
      </c>
      <c r="H744">
        <f>IF(MONTH(calls[[#This Row],[Date of Call]])&lt;=6, YEAR(calls[[#This Row],[Date of Call]]), YEAR(calls[[#This Row],[Date of Call]])+1)</f>
        <v>2024</v>
      </c>
      <c r="I744" t="str">
        <f>TEXT(calls[[#This Row],[Date of Call]],"DDDD")</f>
        <v>Friday</v>
      </c>
      <c r="J744" t="str">
        <f t="array" ref="J744">_xlfn.IFS(calls[[#This Row],[Duration]]&lt;=10,"Under 10 mins", calls[[#This Row],[Duration]]&lt;=30, "10 to 30 mins", calls[[#This Row],[Duration]]&lt;=60, "30 to 60 mins", calls[[#This Row],[Duration]]&lt;=120, "1 to 2 hours", TRUE, "More than 2 hours")</f>
        <v>More than 2 hours</v>
      </c>
      <c r="K744">
        <f>ROUND(calls[[#This Row],[Satisfaction Rating]],0)</f>
        <v>5</v>
      </c>
    </row>
    <row r="745" spans="1:11" ht="13.8" x14ac:dyDescent="0.25">
      <c r="A745" t="s">
        <v>774</v>
      </c>
      <c r="B745" t="s">
        <v>31</v>
      </c>
      <c r="C745">
        <v>120</v>
      </c>
      <c r="D745" s="4" t="s">
        <v>13</v>
      </c>
      <c r="E745" s="5">
        <v>45191</v>
      </c>
      <c r="F745">
        <v>38</v>
      </c>
      <c r="G745">
        <v>4.2</v>
      </c>
      <c r="H745">
        <f>IF(MONTH(calls[[#This Row],[Date of Call]])&lt;=6, YEAR(calls[[#This Row],[Date of Call]]), YEAR(calls[[#This Row],[Date of Call]])+1)</f>
        <v>2024</v>
      </c>
      <c r="I745" t="str">
        <f>TEXT(calls[[#This Row],[Date of Call]],"DDDD")</f>
        <v>Friday</v>
      </c>
      <c r="J745" t="str">
        <f t="array" ref="J745">_xlfn.IFS(calls[[#This Row],[Duration]]&lt;=10,"Under 10 mins", calls[[#This Row],[Duration]]&lt;=30, "10 to 30 mins", calls[[#This Row],[Duration]]&lt;=60, "30 to 60 mins", calls[[#This Row],[Duration]]&lt;=120, "1 to 2 hours", TRUE, "More than 2 hours")</f>
        <v>1 to 2 hours</v>
      </c>
      <c r="K745">
        <f>ROUND(calls[[#This Row],[Satisfaction Rating]],0)</f>
        <v>4</v>
      </c>
    </row>
    <row r="746" spans="1:11" ht="13.8" x14ac:dyDescent="0.25">
      <c r="A746" t="s">
        <v>775</v>
      </c>
      <c r="B746" t="s">
        <v>17</v>
      </c>
      <c r="C746">
        <v>108</v>
      </c>
      <c r="D746" s="4" t="s">
        <v>23</v>
      </c>
      <c r="E746" s="5">
        <v>45192</v>
      </c>
      <c r="F746">
        <v>66</v>
      </c>
      <c r="G746">
        <v>3.9</v>
      </c>
      <c r="H746">
        <f>IF(MONTH(calls[[#This Row],[Date of Call]])&lt;=6, YEAR(calls[[#This Row],[Date of Call]]), YEAR(calls[[#This Row],[Date of Call]])+1)</f>
        <v>2024</v>
      </c>
      <c r="I746" t="str">
        <f>TEXT(calls[[#This Row],[Date of Call]],"DDDD")</f>
        <v>Saturday</v>
      </c>
      <c r="J746" t="str">
        <f t="array" ref="J746">_xlfn.IFS(calls[[#This Row],[Duration]]&lt;=10,"Under 10 mins", calls[[#This Row],[Duration]]&lt;=30, "10 to 30 mins", calls[[#This Row],[Duration]]&lt;=60, "30 to 60 mins", calls[[#This Row],[Duration]]&lt;=120, "1 to 2 hours", TRUE, "More than 2 hours")</f>
        <v>1 to 2 hours</v>
      </c>
      <c r="K746">
        <f>ROUND(calls[[#This Row],[Satisfaction Rating]],0)</f>
        <v>4</v>
      </c>
    </row>
    <row r="747" spans="1:11" ht="13.8" x14ac:dyDescent="0.25">
      <c r="A747" t="s">
        <v>776</v>
      </c>
      <c r="B747" t="s">
        <v>26</v>
      </c>
      <c r="C747">
        <v>79</v>
      </c>
      <c r="D747" s="4" t="s">
        <v>13</v>
      </c>
      <c r="E747" s="5">
        <v>45192</v>
      </c>
      <c r="F747">
        <v>215</v>
      </c>
      <c r="G747">
        <v>4.5999999999999996</v>
      </c>
      <c r="H747">
        <f>IF(MONTH(calls[[#This Row],[Date of Call]])&lt;=6, YEAR(calls[[#This Row],[Date of Call]]), YEAR(calls[[#This Row],[Date of Call]])+1)</f>
        <v>2024</v>
      </c>
      <c r="I747" t="str">
        <f>TEXT(calls[[#This Row],[Date of Call]],"DDDD")</f>
        <v>Saturday</v>
      </c>
      <c r="J747" t="str">
        <f t="array" ref="J747">_xlfn.IFS(calls[[#This Row],[Duration]]&lt;=10,"Under 10 mins", calls[[#This Row],[Duration]]&lt;=30, "10 to 30 mins", calls[[#This Row],[Duration]]&lt;=60, "30 to 60 mins", calls[[#This Row],[Duration]]&lt;=120, "1 to 2 hours", TRUE, "More than 2 hours")</f>
        <v>1 to 2 hours</v>
      </c>
      <c r="K747">
        <f>ROUND(calls[[#This Row],[Satisfaction Rating]],0)</f>
        <v>5</v>
      </c>
    </row>
    <row r="748" spans="1:11" ht="13.8" x14ac:dyDescent="0.25">
      <c r="A748" t="s">
        <v>777</v>
      </c>
      <c r="B748" t="s">
        <v>26</v>
      </c>
      <c r="C748">
        <v>45</v>
      </c>
      <c r="D748" s="4" t="s">
        <v>23</v>
      </c>
      <c r="E748" s="5">
        <v>45192</v>
      </c>
      <c r="F748">
        <v>92</v>
      </c>
      <c r="G748">
        <v>4.3</v>
      </c>
      <c r="H748">
        <f>IF(MONTH(calls[[#This Row],[Date of Call]])&lt;=6, YEAR(calls[[#This Row],[Date of Call]]), YEAR(calls[[#This Row],[Date of Call]])+1)</f>
        <v>2024</v>
      </c>
      <c r="I748" t="str">
        <f>TEXT(calls[[#This Row],[Date of Call]],"DDDD")</f>
        <v>Saturday</v>
      </c>
      <c r="J748" t="str">
        <f t="array" ref="J748">_xlfn.IFS(calls[[#This Row],[Duration]]&lt;=10,"Under 10 mins", calls[[#This Row],[Duration]]&lt;=30, "10 to 30 mins", calls[[#This Row],[Duration]]&lt;=60, "30 to 60 mins", calls[[#This Row],[Duration]]&lt;=120, "1 to 2 hours", TRUE, "More than 2 hours")</f>
        <v>30 to 60 mins</v>
      </c>
      <c r="K748">
        <f>ROUND(calls[[#This Row],[Satisfaction Rating]],0)</f>
        <v>4</v>
      </c>
    </row>
    <row r="749" spans="1:11" ht="13.8" x14ac:dyDescent="0.25">
      <c r="A749" t="s">
        <v>778</v>
      </c>
      <c r="B749" t="s">
        <v>22</v>
      </c>
      <c r="C749">
        <v>96</v>
      </c>
      <c r="D749" s="4" t="s">
        <v>13</v>
      </c>
      <c r="E749" s="5">
        <v>45192</v>
      </c>
      <c r="F749">
        <v>80</v>
      </c>
      <c r="G749">
        <v>3.6</v>
      </c>
      <c r="H749">
        <f>IF(MONTH(calls[[#This Row],[Date of Call]])&lt;=6, YEAR(calls[[#This Row],[Date of Call]]), YEAR(calls[[#This Row],[Date of Call]])+1)</f>
        <v>2024</v>
      </c>
      <c r="I749" t="str">
        <f>TEXT(calls[[#This Row],[Date of Call]],"DDDD")</f>
        <v>Saturday</v>
      </c>
      <c r="J749" t="str">
        <f t="array" ref="J749">_xlfn.IFS(calls[[#This Row],[Duration]]&lt;=10,"Under 10 mins", calls[[#This Row],[Duration]]&lt;=30, "10 to 30 mins", calls[[#This Row],[Duration]]&lt;=60, "30 to 60 mins", calls[[#This Row],[Duration]]&lt;=120, "1 to 2 hours", TRUE, "More than 2 hours")</f>
        <v>1 to 2 hours</v>
      </c>
      <c r="K749">
        <f>ROUND(calls[[#This Row],[Satisfaction Rating]],0)</f>
        <v>4</v>
      </c>
    </row>
    <row r="750" spans="1:11" ht="13.8" x14ac:dyDescent="0.25">
      <c r="A750" t="s">
        <v>779</v>
      </c>
      <c r="B750" t="s">
        <v>22</v>
      </c>
      <c r="C750">
        <v>81</v>
      </c>
      <c r="D750" s="4" t="s">
        <v>13</v>
      </c>
      <c r="E750" s="5">
        <v>45193</v>
      </c>
      <c r="F750">
        <v>123</v>
      </c>
      <c r="G750">
        <v>4.9000000000000004</v>
      </c>
      <c r="H750">
        <f>IF(MONTH(calls[[#This Row],[Date of Call]])&lt;=6, YEAR(calls[[#This Row],[Date of Call]]), YEAR(calls[[#This Row],[Date of Call]])+1)</f>
        <v>2024</v>
      </c>
      <c r="I750" t="str">
        <f>TEXT(calls[[#This Row],[Date of Call]],"DDDD")</f>
        <v>Sunday</v>
      </c>
      <c r="J750" t="str">
        <f t="array" ref="J750">_xlfn.IFS(calls[[#This Row],[Duration]]&lt;=10,"Under 10 mins", calls[[#This Row],[Duration]]&lt;=30, "10 to 30 mins", calls[[#This Row],[Duration]]&lt;=60, "30 to 60 mins", calls[[#This Row],[Duration]]&lt;=120, "1 to 2 hours", TRUE, "More than 2 hours")</f>
        <v>1 to 2 hours</v>
      </c>
      <c r="K750">
        <f>ROUND(calls[[#This Row],[Satisfaction Rating]],0)</f>
        <v>5</v>
      </c>
    </row>
    <row r="751" spans="1:11" ht="13.8" x14ac:dyDescent="0.25">
      <c r="A751" t="s">
        <v>780</v>
      </c>
      <c r="B751" t="s">
        <v>54</v>
      </c>
      <c r="C751">
        <v>95</v>
      </c>
      <c r="D751" s="4" t="s">
        <v>28</v>
      </c>
      <c r="E751" s="5">
        <v>45193</v>
      </c>
      <c r="F751">
        <v>23</v>
      </c>
      <c r="G751">
        <v>2.4</v>
      </c>
      <c r="H751">
        <f>IF(MONTH(calls[[#This Row],[Date of Call]])&lt;=6, YEAR(calls[[#This Row],[Date of Call]]), YEAR(calls[[#This Row],[Date of Call]])+1)</f>
        <v>2024</v>
      </c>
      <c r="I751" t="str">
        <f>TEXT(calls[[#This Row],[Date of Call]],"DDDD")</f>
        <v>Sunday</v>
      </c>
      <c r="J751" t="str">
        <f t="array" ref="J751">_xlfn.IFS(calls[[#This Row],[Duration]]&lt;=10,"Under 10 mins", calls[[#This Row],[Duration]]&lt;=30, "10 to 30 mins", calls[[#This Row],[Duration]]&lt;=60, "30 to 60 mins", calls[[#This Row],[Duration]]&lt;=120, "1 to 2 hours", TRUE, "More than 2 hours")</f>
        <v>1 to 2 hours</v>
      </c>
      <c r="K751">
        <f>ROUND(calls[[#This Row],[Satisfaction Rating]],0)</f>
        <v>2</v>
      </c>
    </row>
    <row r="752" spans="1:11" ht="13.8" x14ac:dyDescent="0.25">
      <c r="A752" t="s">
        <v>781</v>
      </c>
      <c r="B752" t="s">
        <v>51</v>
      </c>
      <c r="C752">
        <v>159</v>
      </c>
      <c r="D752" s="4" t="s">
        <v>18</v>
      </c>
      <c r="E752" s="5">
        <v>45193</v>
      </c>
      <c r="F752">
        <v>63</v>
      </c>
      <c r="G752">
        <v>4.2</v>
      </c>
      <c r="H752">
        <f>IF(MONTH(calls[[#This Row],[Date of Call]])&lt;=6, YEAR(calls[[#This Row],[Date of Call]]), YEAR(calls[[#This Row],[Date of Call]])+1)</f>
        <v>2024</v>
      </c>
      <c r="I752" t="str">
        <f>TEXT(calls[[#This Row],[Date of Call]],"DDDD")</f>
        <v>Sunday</v>
      </c>
      <c r="J752" t="str">
        <f t="array" ref="J752">_xlfn.IFS(calls[[#This Row],[Duration]]&lt;=10,"Under 10 mins", calls[[#This Row],[Duration]]&lt;=30, "10 to 30 mins", calls[[#This Row],[Duration]]&lt;=60, "30 to 60 mins", calls[[#This Row],[Duration]]&lt;=120, "1 to 2 hours", TRUE, "More than 2 hours")</f>
        <v>More than 2 hours</v>
      </c>
      <c r="K752">
        <f>ROUND(calls[[#This Row],[Satisfaction Rating]],0)</f>
        <v>4</v>
      </c>
    </row>
    <row r="753" spans="1:11" ht="13.8" x14ac:dyDescent="0.25">
      <c r="A753" t="s">
        <v>782</v>
      </c>
      <c r="B753" t="s">
        <v>84</v>
      </c>
      <c r="C753">
        <v>109</v>
      </c>
      <c r="D753" s="4" t="s">
        <v>32</v>
      </c>
      <c r="E753" s="5">
        <v>45193</v>
      </c>
      <c r="F753">
        <v>52</v>
      </c>
      <c r="G753">
        <v>3.9</v>
      </c>
      <c r="H753">
        <f>IF(MONTH(calls[[#This Row],[Date of Call]])&lt;=6, YEAR(calls[[#This Row],[Date of Call]]), YEAR(calls[[#This Row],[Date of Call]])+1)</f>
        <v>2024</v>
      </c>
      <c r="I753" t="str">
        <f>TEXT(calls[[#This Row],[Date of Call]],"DDDD")</f>
        <v>Sunday</v>
      </c>
      <c r="J753" t="str">
        <f t="array" ref="J753">_xlfn.IFS(calls[[#This Row],[Duration]]&lt;=10,"Under 10 mins", calls[[#This Row],[Duration]]&lt;=30, "10 to 30 mins", calls[[#This Row],[Duration]]&lt;=60, "30 to 60 mins", calls[[#This Row],[Duration]]&lt;=120, "1 to 2 hours", TRUE, "More than 2 hours")</f>
        <v>1 to 2 hours</v>
      </c>
      <c r="K753">
        <f>ROUND(calls[[#This Row],[Satisfaction Rating]],0)</f>
        <v>4</v>
      </c>
    </row>
    <row r="754" spans="1:11" ht="13.8" x14ac:dyDescent="0.25">
      <c r="A754" t="s">
        <v>783</v>
      </c>
      <c r="B754" t="s">
        <v>26</v>
      </c>
      <c r="C754">
        <v>107</v>
      </c>
      <c r="D754" s="4" t="s">
        <v>32</v>
      </c>
      <c r="E754" s="5">
        <v>45193</v>
      </c>
      <c r="F754">
        <v>60</v>
      </c>
      <c r="G754">
        <v>4.2</v>
      </c>
      <c r="H754">
        <f>IF(MONTH(calls[[#This Row],[Date of Call]])&lt;=6, YEAR(calls[[#This Row],[Date of Call]]), YEAR(calls[[#This Row],[Date of Call]])+1)</f>
        <v>2024</v>
      </c>
      <c r="I754" t="str">
        <f>TEXT(calls[[#This Row],[Date of Call]],"DDDD")</f>
        <v>Sunday</v>
      </c>
      <c r="J754" t="str">
        <f t="array" ref="J754">_xlfn.IFS(calls[[#This Row],[Duration]]&lt;=10,"Under 10 mins", calls[[#This Row],[Duration]]&lt;=30, "10 to 30 mins", calls[[#This Row],[Duration]]&lt;=60, "30 to 60 mins", calls[[#This Row],[Duration]]&lt;=120, "1 to 2 hours", TRUE, "More than 2 hours")</f>
        <v>1 to 2 hours</v>
      </c>
      <c r="K754">
        <f>ROUND(calls[[#This Row],[Satisfaction Rating]],0)</f>
        <v>4</v>
      </c>
    </row>
    <row r="755" spans="1:11" ht="13.8" x14ac:dyDescent="0.25">
      <c r="A755" t="s">
        <v>784</v>
      </c>
      <c r="B755" t="s">
        <v>22</v>
      </c>
      <c r="C755">
        <v>67</v>
      </c>
      <c r="D755" s="4" t="s">
        <v>23</v>
      </c>
      <c r="E755" s="5">
        <v>45194</v>
      </c>
      <c r="F755">
        <v>87</v>
      </c>
      <c r="G755">
        <v>3.9</v>
      </c>
      <c r="H755">
        <f>IF(MONTH(calls[[#This Row],[Date of Call]])&lt;=6, YEAR(calls[[#This Row],[Date of Call]]), YEAR(calls[[#This Row],[Date of Call]])+1)</f>
        <v>2024</v>
      </c>
      <c r="I755" t="str">
        <f>TEXT(calls[[#This Row],[Date of Call]],"DDDD")</f>
        <v>Monday</v>
      </c>
      <c r="J755" t="str">
        <f t="array" ref="J755">_xlfn.IFS(calls[[#This Row],[Duration]]&lt;=10,"Under 10 mins", calls[[#This Row],[Duration]]&lt;=30, "10 to 30 mins", calls[[#This Row],[Duration]]&lt;=60, "30 to 60 mins", calls[[#This Row],[Duration]]&lt;=120, "1 to 2 hours", TRUE, "More than 2 hours")</f>
        <v>1 to 2 hours</v>
      </c>
      <c r="K755">
        <f>ROUND(calls[[#This Row],[Satisfaction Rating]],0)</f>
        <v>4</v>
      </c>
    </row>
    <row r="756" spans="1:11" ht="13.8" x14ac:dyDescent="0.25">
      <c r="A756" t="s">
        <v>785</v>
      </c>
      <c r="B756" t="s">
        <v>37</v>
      </c>
      <c r="C756">
        <v>96</v>
      </c>
      <c r="D756" s="4" t="s">
        <v>13</v>
      </c>
      <c r="E756" s="5">
        <v>45195</v>
      </c>
      <c r="F756">
        <v>42</v>
      </c>
      <c r="G756">
        <v>4.5</v>
      </c>
      <c r="H756">
        <f>IF(MONTH(calls[[#This Row],[Date of Call]])&lt;=6, YEAR(calls[[#This Row],[Date of Call]]), YEAR(calls[[#This Row],[Date of Call]])+1)</f>
        <v>2024</v>
      </c>
      <c r="I756" t="str">
        <f>TEXT(calls[[#This Row],[Date of Call]],"DDDD")</f>
        <v>Tuesday</v>
      </c>
      <c r="J756" t="str">
        <f t="array" ref="J756">_xlfn.IFS(calls[[#This Row],[Duration]]&lt;=10,"Under 10 mins", calls[[#This Row],[Duration]]&lt;=30, "10 to 30 mins", calls[[#This Row],[Duration]]&lt;=60, "30 to 60 mins", calls[[#This Row],[Duration]]&lt;=120, "1 to 2 hours", TRUE, "More than 2 hours")</f>
        <v>1 to 2 hours</v>
      </c>
      <c r="K756">
        <f>ROUND(calls[[#This Row],[Satisfaction Rating]],0)</f>
        <v>5</v>
      </c>
    </row>
    <row r="757" spans="1:11" ht="13.8" x14ac:dyDescent="0.25">
      <c r="A757" t="s">
        <v>786</v>
      </c>
      <c r="B757" t="s">
        <v>46</v>
      </c>
      <c r="C757">
        <v>142</v>
      </c>
      <c r="D757" s="4" t="s">
        <v>18</v>
      </c>
      <c r="E757" s="5">
        <v>45196</v>
      </c>
      <c r="F757">
        <v>37</v>
      </c>
      <c r="G757">
        <v>3.8</v>
      </c>
      <c r="H757">
        <f>IF(MONTH(calls[[#This Row],[Date of Call]])&lt;=6, YEAR(calls[[#This Row],[Date of Call]]), YEAR(calls[[#This Row],[Date of Call]])+1)</f>
        <v>2024</v>
      </c>
      <c r="I757" t="str">
        <f>TEXT(calls[[#This Row],[Date of Call]],"DDDD")</f>
        <v>Wednesday</v>
      </c>
      <c r="J757" t="str">
        <f t="array" ref="J757">_xlfn.IFS(calls[[#This Row],[Duration]]&lt;=10,"Under 10 mins", calls[[#This Row],[Duration]]&lt;=30, "10 to 30 mins", calls[[#This Row],[Duration]]&lt;=60, "30 to 60 mins", calls[[#This Row],[Duration]]&lt;=120, "1 to 2 hours", TRUE, "More than 2 hours")</f>
        <v>More than 2 hours</v>
      </c>
      <c r="K757">
        <f>ROUND(calls[[#This Row],[Satisfaction Rating]],0)</f>
        <v>4</v>
      </c>
    </row>
    <row r="758" spans="1:11" ht="13.8" x14ac:dyDescent="0.25">
      <c r="A758" t="s">
        <v>787</v>
      </c>
      <c r="B758" t="s">
        <v>46</v>
      </c>
      <c r="C758">
        <v>71</v>
      </c>
      <c r="D758" s="4" t="s">
        <v>28</v>
      </c>
      <c r="E758" s="5">
        <v>45196</v>
      </c>
      <c r="F758">
        <v>135</v>
      </c>
      <c r="G758">
        <v>3.9</v>
      </c>
      <c r="H758">
        <f>IF(MONTH(calls[[#This Row],[Date of Call]])&lt;=6, YEAR(calls[[#This Row],[Date of Call]]), YEAR(calls[[#This Row],[Date of Call]])+1)</f>
        <v>2024</v>
      </c>
      <c r="I758" t="str">
        <f>TEXT(calls[[#This Row],[Date of Call]],"DDDD")</f>
        <v>Wednesday</v>
      </c>
      <c r="J758" t="str">
        <f t="array" ref="J758">_xlfn.IFS(calls[[#This Row],[Duration]]&lt;=10,"Under 10 mins", calls[[#This Row],[Duration]]&lt;=30, "10 to 30 mins", calls[[#This Row],[Duration]]&lt;=60, "30 to 60 mins", calls[[#This Row],[Duration]]&lt;=120, "1 to 2 hours", TRUE, "More than 2 hours")</f>
        <v>1 to 2 hours</v>
      </c>
      <c r="K758">
        <f>ROUND(calls[[#This Row],[Satisfaction Rating]],0)</f>
        <v>4</v>
      </c>
    </row>
    <row r="759" spans="1:11" ht="13.8" x14ac:dyDescent="0.25">
      <c r="A759" t="s">
        <v>788</v>
      </c>
      <c r="B759" t="s">
        <v>37</v>
      </c>
      <c r="C759">
        <v>152</v>
      </c>
      <c r="D759" s="4" t="s">
        <v>28</v>
      </c>
      <c r="E759" s="5">
        <v>45196</v>
      </c>
      <c r="F759">
        <v>88</v>
      </c>
      <c r="G759">
        <v>4.7</v>
      </c>
      <c r="H759">
        <f>IF(MONTH(calls[[#This Row],[Date of Call]])&lt;=6, YEAR(calls[[#This Row],[Date of Call]]), YEAR(calls[[#This Row],[Date of Call]])+1)</f>
        <v>2024</v>
      </c>
      <c r="I759" t="str">
        <f>TEXT(calls[[#This Row],[Date of Call]],"DDDD")</f>
        <v>Wednesday</v>
      </c>
      <c r="J759" t="str">
        <f t="array" ref="J759">_xlfn.IFS(calls[[#This Row],[Duration]]&lt;=10,"Under 10 mins", calls[[#This Row],[Duration]]&lt;=30, "10 to 30 mins", calls[[#This Row],[Duration]]&lt;=60, "30 to 60 mins", calls[[#This Row],[Duration]]&lt;=120, "1 to 2 hours", TRUE, "More than 2 hours")</f>
        <v>More than 2 hours</v>
      </c>
      <c r="K759">
        <f>ROUND(calls[[#This Row],[Satisfaction Rating]],0)</f>
        <v>5</v>
      </c>
    </row>
    <row r="760" spans="1:11" ht="13.8" x14ac:dyDescent="0.25">
      <c r="A760" t="s">
        <v>789</v>
      </c>
      <c r="B760" t="s">
        <v>64</v>
      </c>
      <c r="C760">
        <v>108</v>
      </c>
      <c r="D760" s="4" t="s">
        <v>18</v>
      </c>
      <c r="E760" s="5">
        <v>45196</v>
      </c>
      <c r="F760">
        <v>190</v>
      </c>
      <c r="G760">
        <v>3.2</v>
      </c>
      <c r="H760">
        <f>IF(MONTH(calls[[#This Row],[Date of Call]])&lt;=6, YEAR(calls[[#This Row],[Date of Call]]), YEAR(calls[[#This Row],[Date of Call]])+1)</f>
        <v>2024</v>
      </c>
      <c r="I760" t="str">
        <f>TEXT(calls[[#This Row],[Date of Call]],"DDDD")</f>
        <v>Wednesday</v>
      </c>
      <c r="J760" t="str">
        <f t="array" ref="J760">_xlfn.IFS(calls[[#This Row],[Duration]]&lt;=10,"Under 10 mins", calls[[#This Row],[Duration]]&lt;=30, "10 to 30 mins", calls[[#This Row],[Duration]]&lt;=60, "30 to 60 mins", calls[[#This Row],[Duration]]&lt;=120, "1 to 2 hours", TRUE, "More than 2 hours")</f>
        <v>1 to 2 hours</v>
      </c>
      <c r="K760">
        <f>ROUND(calls[[#This Row],[Satisfaction Rating]],0)</f>
        <v>3</v>
      </c>
    </row>
    <row r="761" spans="1:11" ht="13.8" x14ac:dyDescent="0.25">
      <c r="A761" t="s">
        <v>790</v>
      </c>
      <c r="B761" t="s">
        <v>64</v>
      </c>
      <c r="C761">
        <v>156</v>
      </c>
      <c r="D761" s="4" t="s">
        <v>28</v>
      </c>
      <c r="E761" s="5">
        <v>45196</v>
      </c>
      <c r="F761">
        <v>81</v>
      </c>
      <c r="G761">
        <v>5</v>
      </c>
      <c r="H761">
        <f>IF(MONTH(calls[[#This Row],[Date of Call]])&lt;=6, YEAR(calls[[#This Row],[Date of Call]]), YEAR(calls[[#This Row],[Date of Call]])+1)</f>
        <v>2024</v>
      </c>
      <c r="I761" t="str">
        <f>TEXT(calls[[#This Row],[Date of Call]],"DDDD")</f>
        <v>Wednesday</v>
      </c>
      <c r="J761" t="str">
        <f t="array" ref="J761">_xlfn.IFS(calls[[#This Row],[Duration]]&lt;=10,"Under 10 mins", calls[[#This Row],[Duration]]&lt;=30, "10 to 30 mins", calls[[#This Row],[Duration]]&lt;=60, "30 to 60 mins", calls[[#This Row],[Duration]]&lt;=120, "1 to 2 hours", TRUE, "More than 2 hours")</f>
        <v>More than 2 hours</v>
      </c>
      <c r="K761">
        <f>ROUND(calls[[#This Row],[Satisfaction Rating]],0)</f>
        <v>5</v>
      </c>
    </row>
    <row r="762" spans="1:11" ht="13.8" x14ac:dyDescent="0.25">
      <c r="A762" t="s">
        <v>791</v>
      </c>
      <c r="B762" t="s">
        <v>46</v>
      </c>
      <c r="C762">
        <v>126</v>
      </c>
      <c r="D762" s="4" t="s">
        <v>18</v>
      </c>
      <c r="E762" s="5">
        <v>45196</v>
      </c>
      <c r="F762">
        <v>44</v>
      </c>
      <c r="G762">
        <v>3.7</v>
      </c>
      <c r="H762">
        <f>IF(MONTH(calls[[#This Row],[Date of Call]])&lt;=6, YEAR(calls[[#This Row],[Date of Call]]), YEAR(calls[[#This Row],[Date of Call]])+1)</f>
        <v>2024</v>
      </c>
      <c r="I762" t="str">
        <f>TEXT(calls[[#This Row],[Date of Call]],"DDDD")</f>
        <v>Wednesday</v>
      </c>
      <c r="J762" t="str">
        <f t="array" ref="J762">_xlfn.IFS(calls[[#This Row],[Duration]]&lt;=10,"Under 10 mins", calls[[#This Row],[Duration]]&lt;=30, "10 to 30 mins", calls[[#This Row],[Duration]]&lt;=60, "30 to 60 mins", calls[[#This Row],[Duration]]&lt;=120, "1 to 2 hours", TRUE, "More than 2 hours")</f>
        <v>More than 2 hours</v>
      </c>
      <c r="K762">
        <f>ROUND(calls[[#This Row],[Satisfaction Rating]],0)</f>
        <v>4</v>
      </c>
    </row>
    <row r="763" spans="1:11" ht="13.8" x14ac:dyDescent="0.25">
      <c r="A763" t="s">
        <v>792</v>
      </c>
      <c r="B763" t="s">
        <v>17</v>
      </c>
      <c r="C763">
        <v>135</v>
      </c>
      <c r="D763" s="4" t="s">
        <v>28</v>
      </c>
      <c r="E763" s="5">
        <v>45197</v>
      </c>
      <c r="F763">
        <v>92</v>
      </c>
      <c r="G763">
        <v>3.9</v>
      </c>
      <c r="H763">
        <f>IF(MONTH(calls[[#This Row],[Date of Call]])&lt;=6, YEAR(calls[[#This Row],[Date of Call]]), YEAR(calls[[#This Row],[Date of Call]])+1)</f>
        <v>2024</v>
      </c>
      <c r="I763" t="str">
        <f>TEXT(calls[[#This Row],[Date of Call]],"DDDD")</f>
        <v>Thursday</v>
      </c>
      <c r="J763" t="str">
        <f t="array" ref="J763">_xlfn.IFS(calls[[#This Row],[Duration]]&lt;=10,"Under 10 mins", calls[[#This Row],[Duration]]&lt;=30, "10 to 30 mins", calls[[#This Row],[Duration]]&lt;=60, "30 to 60 mins", calls[[#This Row],[Duration]]&lt;=120, "1 to 2 hours", TRUE, "More than 2 hours")</f>
        <v>More than 2 hours</v>
      </c>
      <c r="K763">
        <f>ROUND(calls[[#This Row],[Satisfaction Rating]],0)</f>
        <v>4</v>
      </c>
    </row>
    <row r="764" spans="1:11" ht="13.8" x14ac:dyDescent="0.25">
      <c r="A764" t="s">
        <v>793</v>
      </c>
      <c r="B764" t="s">
        <v>46</v>
      </c>
      <c r="C764">
        <v>110</v>
      </c>
      <c r="D764" s="4" t="s">
        <v>13</v>
      </c>
      <c r="E764" s="5">
        <v>45198</v>
      </c>
      <c r="F764">
        <v>90</v>
      </c>
      <c r="G764">
        <v>3.1</v>
      </c>
      <c r="H764">
        <f>IF(MONTH(calls[[#This Row],[Date of Call]])&lt;=6, YEAR(calls[[#This Row],[Date of Call]]), YEAR(calls[[#This Row],[Date of Call]])+1)</f>
        <v>2024</v>
      </c>
      <c r="I764" t="str">
        <f>TEXT(calls[[#This Row],[Date of Call]],"DDDD")</f>
        <v>Friday</v>
      </c>
      <c r="J764" t="str">
        <f t="array" ref="J764">_xlfn.IFS(calls[[#This Row],[Duration]]&lt;=10,"Under 10 mins", calls[[#This Row],[Duration]]&lt;=30, "10 to 30 mins", calls[[#This Row],[Duration]]&lt;=60, "30 to 60 mins", calls[[#This Row],[Duration]]&lt;=120, "1 to 2 hours", TRUE, "More than 2 hours")</f>
        <v>1 to 2 hours</v>
      </c>
      <c r="K764">
        <f>ROUND(calls[[#This Row],[Satisfaction Rating]],0)</f>
        <v>3</v>
      </c>
    </row>
    <row r="765" spans="1:11" ht="13.8" x14ac:dyDescent="0.25">
      <c r="A765" t="s">
        <v>794</v>
      </c>
      <c r="B765" t="s">
        <v>51</v>
      </c>
      <c r="C765">
        <v>64</v>
      </c>
      <c r="D765" s="4" t="s">
        <v>28</v>
      </c>
      <c r="E765" s="5">
        <v>45198</v>
      </c>
      <c r="F765">
        <v>112</v>
      </c>
      <c r="G765">
        <v>2</v>
      </c>
      <c r="H765">
        <f>IF(MONTH(calls[[#This Row],[Date of Call]])&lt;=6, YEAR(calls[[#This Row],[Date of Call]]), YEAR(calls[[#This Row],[Date of Call]])+1)</f>
        <v>2024</v>
      </c>
      <c r="I765" t="str">
        <f>TEXT(calls[[#This Row],[Date of Call]],"DDDD")</f>
        <v>Friday</v>
      </c>
      <c r="J765" t="str">
        <f t="array" ref="J765">_xlfn.IFS(calls[[#This Row],[Duration]]&lt;=10,"Under 10 mins", calls[[#This Row],[Duration]]&lt;=30, "10 to 30 mins", calls[[#This Row],[Duration]]&lt;=60, "30 to 60 mins", calls[[#This Row],[Duration]]&lt;=120, "1 to 2 hours", TRUE, "More than 2 hours")</f>
        <v>1 to 2 hours</v>
      </c>
      <c r="K765">
        <f>ROUND(calls[[#This Row],[Satisfaction Rating]],0)</f>
        <v>2</v>
      </c>
    </row>
    <row r="766" spans="1:11" ht="13.8" x14ac:dyDescent="0.25">
      <c r="A766" t="s">
        <v>795</v>
      </c>
      <c r="B766" t="s">
        <v>43</v>
      </c>
      <c r="C766">
        <v>127</v>
      </c>
      <c r="D766" s="4" t="s">
        <v>18</v>
      </c>
      <c r="E766" s="5">
        <v>45198</v>
      </c>
      <c r="F766">
        <v>112</v>
      </c>
      <c r="G766">
        <v>4.5999999999999996</v>
      </c>
      <c r="H766">
        <f>IF(MONTH(calls[[#This Row],[Date of Call]])&lt;=6, YEAR(calls[[#This Row],[Date of Call]]), YEAR(calls[[#This Row],[Date of Call]])+1)</f>
        <v>2024</v>
      </c>
      <c r="I766" t="str">
        <f>TEXT(calls[[#This Row],[Date of Call]],"DDDD")</f>
        <v>Friday</v>
      </c>
      <c r="J766" t="str">
        <f t="array" ref="J766">_xlfn.IFS(calls[[#This Row],[Duration]]&lt;=10,"Under 10 mins", calls[[#This Row],[Duration]]&lt;=30, "10 to 30 mins", calls[[#This Row],[Duration]]&lt;=60, "30 to 60 mins", calls[[#This Row],[Duration]]&lt;=120, "1 to 2 hours", TRUE, "More than 2 hours")</f>
        <v>More than 2 hours</v>
      </c>
      <c r="K766">
        <f>ROUND(calls[[#This Row],[Satisfaction Rating]],0)</f>
        <v>5</v>
      </c>
    </row>
    <row r="767" spans="1:11" ht="13.8" x14ac:dyDescent="0.25">
      <c r="A767" t="s">
        <v>796</v>
      </c>
      <c r="B767" t="s">
        <v>84</v>
      </c>
      <c r="C767">
        <v>124</v>
      </c>
      <c r="D767" s="4" t="s">
        <v>23</v>
      </c>
      <c r="E767" s="5">
        <v>45198</v>
      </c>
      <c r="F767">
        <v>48</v>
      </c>
      <c r="G767">
        <v>3.7</v>
      </c>
      <c r="H767">
        <f>IF(MONTH(calls[[#This Row],[Date of Call]])&lt;=6, YEAR(calls[[#This Row],[Date of Call]]), YEAR(calls[[#This Row],[Date of Call]])+1)</f>
        <v>2024</v>
      </c>
      <c r="I767" t="str">
        <f>TEXT(calls[[#This Row],[Date of Call]],"DDDD")</f>
        <v>Friday</v>
      </c>
      <c r="J767" t="str">
        <f t="array" ref="J767">_xlfn.IFS(calls[[#This Row],[Duration]]&lt;=10,"Under 10 mins", calls[[#This Row],[Duration]]&lt;=30, "10 to 30 mins", calls[[#This Row],[Duration]]&lt;=60, "30 to 60 mins", calls[[#This Row],[Duration]]&lt;=120, "1 to 2 hours", TRUE, "More than 2 hours")</f>
        <v>More than 2 hours</v>
      </c>
      <c r="K767">
        <f>ROUND(calls[[#This Row],[Satisfaction Rating]],0)</f>
        <v>4</v>
      </c>
    </row>
    <row r="768" spans="1:11" ht="13.8" x14ac:dyDescent="0.25">
      <c r="A768" t="s">
        <v>797</v>
      </c>
      <c r="B768" t="s">
        <v>51</v>
      </c>
      <c r="C768">
        <v>125</v>
      </c>
      <c r="D768" s="4" t="s">
        <v>18</v>
      </c>
      <c r="E768" s="5">
        <v>45198</v>
      </c>
      <c r="F768">
        <v>116</v>
      </c>
      <c r="G768">
        <v>4.4000000000000004</v>
      </c>
      <c r="H768">
        <f>IF(MONTH(calls[[#This Row],[Date of Call]])&lt;=6, YEAR(calls[[#This Row],[Date of Call]]), YEAR(calls[[#This Row],[Date of Call]])+1)</f>
        <v>2024</v>
      </c>
      <c r="I768" t="str">
        <f>TEXT(calls[[#This Row],[Date of Call]],"DDDD")</f>
        <v>Friday</v>
      </c>
      <c r="J768" t="str">
        <f t="array" ref="J768">_xlfn.IFS(calls[[#This Row],[Duration]]&lt;=10,"Under 10 mins", calls[[#This Row],[Duration]]&lt;=30, "10 to 30 mins", calls[[#This Row],[Duration]]&lt;=60, "30 to 60 mins", calls[[#This Row],[Duration]]&lt;=120, "1 to 2 hours", TRUE, "More than 2 hours")</f>
        <v>More than 2 hours</v>
      </c>
      <c r="K768">
        <f>ROUND(calls[[#This Row],[Satisfaction Rating]],0)</f>
        <v>4</v>
      </c>
    </row>
    <row r="769" spans="1:11" ht="13.8" x14ac:dyDescent="0.25">
      <c r="A769" t="s">
        <v>798</v>
      </c>
      <c r="B769" t="s">
        <v>15</v>
      </c>
      <c r="C769">
        <v>70</v>
      </c>
      <c r="D769" s="4" t="s">
        <v>18</v>
      </c>
      <c r="E769" s="5">
        <v>45198</v>
      </c>
      <c r="F769">
        <v>29</v>
      </c>
      <c r="G769">
        <v>2.1</v>
      </c>
      <c r="H769">
        <f>IF(MONTH(calls[[#This Row],[Date of Call]])&lt;=6, YEAR(calls[[#This Row],[Date of Call]]), YEAR(calls[[#This Row],[Date of Call]])+1)</f>
        <v>2024</v>
      </c>
      <c r="I769" t="str">
        <f>TEXT(calls[[#This Row],[Date of Call]],"DDDD")</f>
        <v>Friday</v>
      </c>
      <c r="J769" t="str">
        <f t="array" ref="J769">_xlfn.IFS(calls[[#This Row],[Duration]]&lt;=10,"Under 10 mins", calls[[#This Row],[Duration]]&lt;=30, "10 to 30 mins", calls[[#This Row],[Duration]]&lt;=60, "30 to 60 mins", calls[[#This Row],[Duration]]&lt;=120, "1 to 2 hours", TRUE, "More than 2 hours")</f>
        <v>1 to 2 hours</v>
      </c>
      <c r="K769">
        <f>ROUND(calls[[#This Row],[Satisfaction Rating]],0)</f>
        <v>2</v>
      </c>
    </row>
    <row r="770" spans="1:11" ht="13.8" x14ac:dyDescent="0.25">
      <c r="A770" t="s">
        <v>799</v>
      </c>
      <c r="B770" t="s">
        <v>43</v>
      </c>
      <c r="C770">
        <v>93</v>
      </c>
      <c r="D770" s="4" t="s">
        <v>28</v>
      </c>
      <c r="E770" s="5">
        <v>45199</v>
      </c>
      <c r="F770">
        <v>170</v>
      </c>
      <c r="G770">
        <v>2.2000000000000002</v>
      </c>
      <c r="H770">
        <f>IF(MONTH(calls[[#This Row],[Date of Call]])&lt;=6, YEAR(calls[[#This Row],[Date of Call]]), YEAR(calls[[#This Row],[Date of Call]])+1)</f>
        <v>2024</v>
      </c>
      <c r="I770" t="str">
        <f>TEXT(calls[[#This Row],[Date of Call]],"DDDD")</f>
        <v>Saturday</v>
      </c>
      <c r="J770" t="str">
        <f t="array" ref="J770">_xlfn.IFS(calls[[#This Row],[Duration]]&lt;=10,"Under 10 mins", calls[[#This Row],[Duration]]&lt;=30, "10 to 30 mins", calls[[#This Row],[Duration]]&lt;=60, "30 to 60 mins", calls[[#This Row],[Duration]]&lt;=120, "1 to 2 hours", TRUE, "More than 2 hours")</f>
        <v>1 to 2 hours</v>
      </c>
      <c r="K770">
        <f>ROUND(calls[[#This Row],[Satisfaction Rating]],0)</f>
        <v>2</v>
      </c>
    </row>
    <row r="771" spans="1:11" ht="13.8" x14ac:dyDescent="0.25">
      <c r="A771" t="s">
        <v>800</v>
      </c>
      <c r="B771" t="s">
        <v>15</v>
      </c>
      <c r="C771">
        <v>120</v>
      </c>
      <c r="D771" s="4" t="s">
        <v>32</v>
      </c>
      <c r="E771" s="5">
        <v>45199</v>
      </c>
      <c r="F771">
        <v>68</v>
      </c>
      <c r="G771">
        <v>3.4</v>
      </c>
      <c r="H771">
        <f>IF(MONTH(calls[[#This Row],[Date of Call]])&lt;=6, YEAR(calls[[#This Row],[Date of Call]]), YEAR(calls[[#This Row],[Date of Call]])+1)</f>
        <v>2024</v>
      </c>
      <c r="I771" t="str">
        <f>TEXT(calls[[#This Row],[Date of Call]],"DDDD")</f>
        <v>Saturday</v>
      </c>
      <c r="J771" t="str">
        <f t="array" ref="J771">_xlfn.IFS(calls[[#This Row],[Duration]]&lt;=10,"Under 10 mins", calls[[#This Row],[Duration]]&lt;=30, "10 to 30 mins", calls[[#This Row],[Duration]]&lt;=60, "30 to 60 mins", calls[[#This Row],[Duration]]&lt;=120, "1 to 2 hours", TRUE, "More than 2 hours")</f>
        <v>1 to 2 hours</v>
      </c>
      <c r="K771">
        <f>ROUND(calls[[#This Row],[Satisfaction Rating]],0)</f>
        <v>3</v>
      </c>
    </row>
    <row r="772" spans="1:11" ht="13.8" x14ac:dyDescent="0.25">
      <c r="A772" t="s">
        <v>801</v>
      </c>
      <c r="B772" t="s">
        <v>22</v>
      </c>
      <c r="C772">
        <v>96</v>
      </c>
      <c r="D772" s="4" t="s">
        <v>13</v>
      </c>
      <c r="E772" s="5">
        <v>45199</v>
      </c>
      <c r="F772">
        <v>195</v>
      </c>
      <c r="G772">
        <v>2.7</v>
      </c>
      <c r="H772">
        <f>IF(MONTH(calls[[#This Row],[Date of Call]])&lt;=6, YEAR(calls[[#This Row],[Date of Call]]), YEAR(calls[[#This Row],[Date of Call]])+1)</f>
        <v>2024</v>
      </c>
      <c r="I772" t="str">
        <f>TEXT(calls[[#This Row],[Date of Call]],"DDDD")</f>
        <v>Saturday</v>
      </c>
      <c r="J772" t="str">
        <f t="array" ref="J772">_xlfn.IFS(calls[[#This Row],[Duration]]&lt;=10,"Under 10 mins", calls[[#This Row],[Duration]]&lt;=30, "10 to 30 mins", calls[[#This Row],[Duration]]&lt;=60, "30 to 60 mins", calls[[#This Row],[Duration]]&lt;=120, "1 to 2 hours", TRUE, "More than 2 hours")</f>
        <v>1 to 2 hours</v>
      </c>
      <c r="K772">
        <f>ROUND(calls[[#This Row],[Satisfaction Rating]],0)</f>
        <v>3</v>
      </c>
    </row>
    <row r="773" spans="1:11" ht="13.8" x14ac:dyDescent="0.25">
      <c r="A773" t="s">
        <v>802</v>
      </c>
      <c r="B773" t="s">
        <v>20</v>
      </c>
      <c r="C773">
        <v>67</v>
      </c>
      <c r="D773" s="4" t="s">
        <v>13</v>
      </c>
      <c r="E773" s="5">
        <v>45199</v>
      </c>
      <c r="F773">
        <v>96</v>
      </c>
      <c r="G773">
        <v>3.7</v>
      </c>
      <c r="H773">
        <f>IF(MONTH(calls[[#This Row],[Date of Call]])&lt;=6, YEAR(calls[[#This Row],[Date of Call]]), YEAR(calls[[#This Row],[Date of Call]])+1)</f>
        <v>2024</v>
      </c>
      <c r="I773" t="str">
        <f>TEXT(calls[[#This Row],[Date of Call]],"DDDD")</f>
        <v>Saturday</v>
      </c>
      <c r="J773" t="str">
        <f t="array" ref="J773">_xlfn.IFS(calls[[#This Row],[Duration]]&lt;=10,"Under 10 mins", calls[[#This Row],[Duration]]&lt;=30, "10 to 30 mins", calls[[#This Row],[Duration]]&lt;=60, "30 to 60 mins", calls[[#This Row],[Duration]]&lt;=120, "1 to 2 hours", TRUE, "More than 2 hours")</f>
        <v>1 to 2 hours</v>
      </c>
      <c r="K773">
        <f>ROUND(calls[[#This Row],[Satisfaction Rating]],0)</f>
        <v>4</v>
      </c>
    </row>
    <row r="774" spans="1:11" ht="13.8" x14ac:dyDescent="0.25">
      <c r="A774" t="s">
        <v>803</v>
      </c>
      <c r="B774" t="s">
        <v>51</v>
      </c>
      <c r="C774">
        <v>119</v>
      </c>
      <c r="D774" s="4" t="s">
        <v>13</v>
      </c>
      <c r="E774" s="5">
        <v>45199</v>
      </c>
      <c r="F774">
        <v>96</v>
      </c>
      <c r="G774">
        <v>3.1</v>
      </c>
      <c r="H774">
        <f>IF(MONTH(calls[[#This Row],[Date of Call]])&lt;=6, YEAR(calls[[#This Row],[Date of Call]]), YEAR(calls[[#This Row],[Date of Call]])+1)</f>
        <v>2024</v>
      </c>
      <c r="I774" t="str">
        <f>TEXT(calls[[#This Row],[Date of Call]],"DDDD")</f>
        <v>Saturday</v>
      </c>
      <c r="J774" t="str">
        <f t="array" ref="J774">_xlfn.IFS(calls[[#This Row],[Duration]]&lt;=10,"Under 10 mins", calls[[#This Row],[Duration]]&lt;=30, "10 to 30 mins", calls[[#This Row],[Duration]]&lt;=60, "30 to 60 mins", calls[[#This Row],[Duration]]&lt;=120, "1 to 2 hours", TRUE, "More than 2 hours")</f>
        <v>1 to 2 hours</v>
      </c>
      <c r="K774">
        <f>ROUND(calls[[#This Row],[Satisfaction Rating]],0)</f>
        <v>3</v>
      </c>
    </row>
    <row r="775" spans="1:11" ht="13.8" x14ac:dyDescent="0.25">
      <c r="A775" t="s">
        <v>804</v>
      </c>
      <c r="B775" t="s">
        <v>84</v>
      </c>
      <c r="C775">
        <v>61</v>
      </c>
      <c r="D775" s="4" t="s">
        <v>23</v>
      </c>
      <c r="E775" s="5">
        <v>45199</v>
      </c>
      <c r="F775">
        <v>117</v>
      </c>
      <c r="G775">
        <v>4.0999999999999996</v>
      </c>
      <c r="H775">
        <f>IF(MONTH(calls[[#This Row],[Date of Call]])&lt;=6, YEAR(calls[[#This Row],[Date of Call]]), YEAR(calls[[#This Row],[Date of Call]])+1)</f>
        <v>2024</v>
      </c>
      <c r="I775" t="str">
        <f>TEXT(calls[[#This Row],[Date of Call]],"DDDD")</f>
        <v>Saturday</v>
      </c>
      <c r="J775" t="str">
        <f t="array" ref="J775">_xlfn.IFS(calls[[#This Row],[Duration]]&lt;=10,"Under 10 mins", calls[[#This Row],[Duration]]&lt;=30, "10 to 30 mins", calls[[#This Row],[Duration]]&lt;=60, "30 to 60 mins", calls[[#This Row],[Duration]]&lt;=120, "1 to 2 hours", TRUE, "More than 2 hours")</f>
        <v>1 to 2 hours</v>
      </c>
      <c r="K775">
        <f>ROUND(calls[[#This Row],[Satisfaction Rating]],0)</f>
        <v>4</v>
      </c>
    </row>
    <row r="776" spans="1:11" ht="13.8" x14ac:dyDescent="0.25">
      <c r="A776" t="s">
        <v>805</v>
      </c>
      <c r="B776" t="s">
        <v>22</v>
      </c>
      <c r="C776">
        <v>29</v>
      </c>
      <c r="D776" s="4" t="s">
        <v>28</v>
      </c>
      <c r="E776" s="5">
        <v>45199</v>
      </c>
      <c r="F776">
        <v>80</v>
      </c>
      <c r="G776">
        <v>4.8</v>
      </c>
      <c r="H776">
        <f>IF(MONTH(calls[[#This Row],[Date of Call]])&lt;=6, YEAR(calls[[#This Row],[Date of Call]]), YEAR(calls[[#This Row],[Date of Call]])+1)</f>
        <v>2024</v>
      </c>
      <c r="I776" t="str">
        <f>TEXT(calls[[#This Row],[Date of Call]],"DDDD")</f>
        <v>Saturday</v>
      </c>
      <c r="J776" t="str">
        <f t="array" ref="J776">_xlfn.IFS(calls[[#This Row],[Duration]]&lt;=10,"Under 10 mins", calls[[#This Row],[Duration]]&lt;=30, "10 to 30 mins", calls[[#This Row],[Duration]]&lt;=60, "30 to 60 mins", calls[[#This Row],[Duration]]&lt;=120, "1 to 2 hours", TRUE, "More than 2 hours")</f>
        <v>10 to 30 mins</v>
      </c>
      <c r="K776">
        <f>ROUND(calls[[#This Row],[Satisfaction Rating]],0)</f>
        <v>5</v>
      </c>
    </row>
    <row r="777" spans="1:11" ht="13.8" x14ac:dyDescent="0.25">
      <c r="A777" t="s">
        <v>806</v>
      </c>
      <c r="B777" t="s">
        <v>37</v>
      </c>
      <c r="C777">
        <v>134</v>
      </c>
      <c r="D777" s="4" t="s">
        <v>32</v>
      </c>
      <c r="E777" s="5">
        <v>45199</v>
      </c>
      <c r="F777">
        <v>117</v>
      </c>
      <c r="G777">
        <v>4</v>
      </c>
      <c r="H777">
        <f>IF(MONTH(calls[[#This Row],[Date of Call]])&lt;=6, YEAR(calls[[#This Row],[Date of Call]]), YEAR(calls[[#This Row],[Date of Call]])+1)</f>
        <v>2024</v>
      </c>
      <c r="I777" t="str">
        <f>TEXT(calls[[#This Row],[Date of Call]],"DDDD")</f>
        <v>Saturday</v>
      </c>
      <c r="J777" t="str">
        <f t="array" ref="J777">_xlfn.IFS(calls[[#This Row],[Duration]]&lt;=10,"Under 10 mins", calls[[#This Row],[Duration]]&lt;=30, "10 to 30 mins", calls[[#This Row],[Duration]]&lt;=60, "30 to 60 mins", calls[[#This Row],[Duration]]&lt;=120, "1 to 2 hours", TRUE, "More than 2 hours")</f>
        <v>More than 2 hours</v>
      </c>
      <c r="K777">
        <f>ROUND(calls[[#This Row],[Satisfaction Rating]],0)</f>
        <v>4</v>
      </c>
    </row>
    <row r="778" spans="1:11" ht="13.8" x14ac:dyDescent="0.25">
      <c r="A778" t="s">
        <v>807</v>
      </c>
      <c r="B778" t="s">
        <v>46</v>
      </c>
      <c r="C778">
        <v>113</v>
      </c>
      <c r="D778" s="4" t="s">
        <v>13</v>
      </c>
      <c r="E778" s="5">
        <v>45200</v>
      </c>
      <c r="F778">
        <v>40</v>
      </c>
      <c r="G778">
        <v>3</v>
      </c>
      <c r="H778">
        <f>IF(MONTH(calls[[#This Row],[Date of Call]])&lt;=6, YEAR(calls[[#This Row],[Date of Call]]), YEAR(calls[[#This Row],[Date of Call]])+1)</f>
        <v>2024</v>
      </c>
      <c r="I778" t="str">
        <f>TEXT(calls[[#This Row],[Date of Call]],"DDDD")</f>
        <v>Sunday</v>
      </c>
      <c r="J778" t="str">
        <f t="array" ref="J778">_xlfn.IFS(calls[[#This Row],[Duration]]&lt;=10,"Under 10 mins", calls[[#This Row],[Duration]]&lt;=30, "10 to 30 mins", calls[[#This Row],[Duration]]&lt;=60, "30 to 60 mins", calls[[#This Row],[Duration]]&lt;=120, "1 to 2 hours", TRUE, "More than 2 hours")</f>
        <v>1 to 2 hours</v>
      </c>
      <c r="K778">
        <f>ROUND(calls[[#This Row],[Satisfaction Rating]],0)</f>
        <v>3</v>
      </c>
    </row>
    <row r="779" spans="1:11" ht="13.8" x14ac:dyDescent="0.25">
      <c r="A779" t="s">
        <v>808</v>
      </c>
      <c r="B779" t="s">
        <v>64</v>
      </c>
      <c r="C779">
        <v>12</v>
      </c>
      <c r="D779" s="4" t="s">
        <v>32</v>
      </c>
      <c r="E779" s="5">
        <v>45200</v>
      </c>
      <c r="F779">
        <v>117</v>
      </c>
      <c r="G779">
        <v>4.8</v>
      </c>
      <c r="H779">
        <f>IF(MONTH(calls[[#This Row],[Date of Call]])&lt;=6, YEAR(calls[[#This Row],[Date of Call]]), YEAR(calls[[#This Row],[Date of Call]])+1)</f>
        <v>2024</v>
      </c>
      <c r="I779" t="str">
        <f>TEXT(calls[[#This Row],[Date of Call]],"DDDD")</f>
        <v>Sunday</v>
      </c>
      <c r="J779" t="str">
        <f t="array" ref="J779">_xlfn.IFS(calls[[#This Row],[Duration]]&lt;=10,"Under 10 mins", calls[[#This Row],[Duration]]&lt;=30, "10 to 30 mins", calls[[#This Row],[Duration]]&lt;=60, "30 to 60 mins", calls[[#This Row],[Duration]]&lt;=120, "1 to 2 hours", TRUE, "More than 2 hours")</f>
        <v>10 to 30 mins</v>
      </c>
      <c r="K779">
        <f>ROUND(calls[[#This Row],[Satisfaction Rating]],0)</f>
        <v>5</v>
      </c>
    </row>
    <row r="780" spans="1:11" ht="13.8" x14ac:dyDescent="0.25">
      <c r="A780" t="s">
        <v>809</v>
      </c>
      <c r="B780" t="s">
        <v>35</v>
      </c>
      <c r="C780">
        <v>78</v>
      </c>
      <c r="D780" s="4" t="s">
        <v>28</v>
      </c>
      <c r="E780" s="5">
        <v>45200</v>
      </c>
      <c r="F780">
        <v>135</v>
      </c>
      <c r="G780">
        <v>4.0999999999999996</v>
      </c>
      <c r="H780">
        <f>IF(MONTH(calls[[#This Row],[Date of Call]])&lt;=6, YEAR(calls[[#This Row],[Date of Call]]), YEAR(calls[[#This Row],[Date of Call]])+1)</f>
        <v>2024</v>
      </c>
      <c r="I780" t="str">
        <f>TEXT(calls[[#This Row],[Date of Call]],"DDDD")</f>
        <v>Sunday</v>
      </c>
      <c r="J780" t="str">
        <f t="array" ref="J780">_xlfn.IFS(calls[[#This Row],[Duration]]&lt;=10,"Under 10 mins", calls[[#This Row],[Duration]]&lt;=30, "10 to 30 mins", calls[[#This Row],[Duration]]&lt;=60, "30 to 60 mins", calls[[#This Row],[Duration]]&lt;=120, "1 to 2 hours", TRUE, "More than 2 hours")</f>
        <v>1 to 2 hours</v>
      </c>
      <c r="K780">
        <f>ROUND(calls[[#This Row],[Satisfaction Rating]],0)</f>
        <v>4</v>
      </c>
    </row>
    <row r="781" spans="1:11" ht="13.8" x14ac:dyDescent="0.25">
      <c r="A781" t="s">
        <v>810</v>
      </c>
      <c r="B781" t="s">
        <v>51</v>
      </c>
      <c r="C781">
        <v>82</v>
      </c>
      <c r="D781" s="4" t="s">
        <v>18</v>
      </c>
      <c r="E781" s="5">
        <v>45200</v>
      </c>
      <c r="F781">
        <v>99</v>
      </c>
      <c r="G781">
        <v>4.2</v>
      </c>
      <c r="H781">
        <f>IF(MONTH(calls[[#This Row],[Date of Call]])&lt;=6, YEAR(calls[[#This Row],[Date of Call]]), YEAR(calls[[#This Row],[Date of Call]])+1)</f>
        <v>2024</v>
      </c>
      <c r="I781" t="str">
        <f>TEXT(calls[[#This Row],[Date of Call]],"DDDD")</f>
        <v>Sunday</v>
      </c>
      <c r="J781" t="str">
        <f t="array" ref="J781">_xlfn.IFS(calls[[#This Row],[Duration]]&lt;=10,"Under 10 mins", calls[[#This Row],[Duration]]&lt;=30, "10 to 30 mins", calls[[#This Row],[Duration]]&lt;=60, "30 to 60 mins", calls[[#This Row],[Duration]]&lt;=120, "1 to 2 hours", TRUE, "More than 2 hours")</f>
        <v>1 to 2 hours</v>
      </c>
      <c r="K781">
        <f>ROUND(calls[[#This Row],[Satisfaction Rating]],0)</f>
        <v>4</v>
      </c>
    </row>
    <row r="782" spans="1:11" ht="13.8" x14ac:dyDescent="0.25">
      <c r="A782" t="s">
        <v>811</v>
      </c>
      <c r="B782" t="s">
        <v>31</v>
      </c>
      <c r="C782">
        <v>149</v>
      </c>
      <c r="D782" s="4" t="s">
        <v>23</v>
      </c>
      <c r="E782" s="5">
        <v>45200</v>
      </c>
      <c r="F782">
        <v>130</v>
      </c>
      <c r="G782">
        <v>3.3</v>
      </c>
      <c r="H782">
        <f>IF(MONTH(calls[[#This Row],[Date of Call]])&lt;=6, YEAR(calls[[#This Row],[Date of Call]]), YEAR(calls[[#This Row],[Date of Call]])+1)</f>
        <v>2024</v>
      </c>
      <c r="I782" t="str">
        <f>TEXT(calls[[#This Row],[Date of Call]],"DDDD")</f>
        <v>Sunday</v>
      </c>
      <c r="J782" t="str">
        <f t="array" ref="J782">_xlfn.IFS(calls[[#This Row],[Duration]]&lt;=10,"Under 10 mins", calls[[#This Row],[Duration]]&lt;=30, "10 to 30 mins", calls[[#This Row],[Duration]]&lt;=60, "30 to 60 mins", calls[[#This Row],[Duration]]&lt;=120, "1 to 2 hours", TRUE, "More than 2 hours")</f>
        <v>More than 2 hours</v>
      </c>
      <c r="K782">
        <f>ROUND(calls[[#This Row],[Satisfaction Rating]],0)</f>
        <v>3</v>
      </c>
    </row>
    <row r="783" spans="1:11" ht="13.8" x14ac:dyDescent="0.25">
      <c r="A783" t="s">
        <v>812</v>
      </c>
      <c r="B783" t="s">
        <v>26</v>
      </c>
      <c r="C783">
        <v>56</v>
      </c>
      <c r="D783" s="4" t="s">
        <v>32</v>
      </c>
      <c r="E783" s="5">
        <v>45200</v>
      </c>
      <c r="F783">
        <v>96</v>
      </c>
      <c r="G783">
        <v>4.7</v>
      </c>
      <c r="H783">
        <f>IF(MONTH(calls[[#This Row],[Date of Call]])&lt;=6, YEAR(calls[[#This Row],[Date of Call]]), YEAR(calls[[#This Row],[Date of Call]])+1)</f>
        <v>2024</v>
      </c>
      <c r="I783" t="str">
        <f>TEXT(calls[[#This Row],[Date of Call]],"DDDD")</f>
        <v>Sunday</v>
      </c>
      <c r="J783" t="str">
        <f t="array" ref="J783">_xlfn.IFS(calls[[#This Row],[Duration]]&lt;=10,"Under 10 mins", calls[[#This Row],[Duration]]&lt;=30, "10 to 30 mins", calls[[#This Row],[Duration]]&lt;=60, "30 to 60 mins", calls[[#This Row],[Duration]]&lt;=120, "1 to 2 hours", TRUE, "More than 2 hours")</f>
        <v>30 to 60 mins</v>
      </c>
      <c r="K783">
        <f>ROUND(calls[[#This Row],[Satisfaction Rating]],0)</f>
        <v>5</v>
      </c>
    </row>
    <row r="784" spans="1:11" ht="13.8" x14ac:dyDescent="0.25">
      <c r="A784" t="s">
        <v>813</v>
      </c>
      <c r="B784" t="s">
        <v>22</v>
      </c>
      <c r="C784">
        <v>80</v>
      </c>
      <c r="D784" s="4" t="s">
        <v>23</v>
      </c>
      <c r="E784" s="5">
        <v>45200</v>
      </c>
      <c r="F784">
        <v>128</v>
      </c>
      <c r="G784">
        <v>3.7</v>
      </c>
      <c r="H784">
        <f>IF(MONTH(calls[[#This Row],[Date of Call]])&lt;=6, YEAR(calls[[#This Row],[Date of Call]]), YEAR(calls[[#This Row],[Date of Call]])+1)</f>
        <v>2024</v>
      </c>
      <c r="I784" t="str">
        <f>TEXT(calls[[#This Row],[Date of Call]],"DDDD")</f>
        <v>Sunday</v>
      </c>
      <c r="J784" t="str">
        <f t="array" ref="J784">_xlfn.IFS(calls[[#This Row],[Duration]]&lt;=10,"Under 10 mins", calls[[#This Row],[Duration]]&lt;=30, "10 to 30 mins", calls[[#This Row],[Duration]]&lt;=60, "30 to 60 mins", calls[[#This Row],[Duration]]&lt;=120, "1 to 2 hours", TRUE, "More than 2 hours")</f>
        <v>1 to 2 hours</v>
      </c>
      <c r="K784">
        <f>ROUND(calls[[#This Row],[Satisfaction Rating]],0)</f>
        <v>4</v>
      </c>
    </row>
    <row r="785" spans="1:11" ht="13.8" x14ac:dyDescent="0.25">
      <c r="A785" t="s">
        <v>814</v>
      </c>
      <c r="B785" t="s">
        <v>84</v>
      </c>
      <c r="C785">
        <v>131</v>
      </c>
      <c r="D785" s="4" t="s">
        <v>13</v>
      </c>
      <c r="E785" s="5">
        <v>45200</v>
      </c>
      <c r="F785">
        <v>69</v>
      </c>
      <c r="G785">
        <v>4.7</v>
      </c>
      <c r="H785">
        <f>IF(MONTH(calls[[#This Row],[Date of Call]])&lt;=6, YEAR(calls[[#This Row],[Date of Call]]), YEAR(calls[[#This Row],[Date of Call]])+1)</f>
        <v>2024</v>
      </c>
      <c r="I785" t="str">
        <f>TEXT(calls[[#This Row],[Date of Call]],"DDDD")</f>
        <v>Sunday</v>
      </c>
      <c r="J785" t="str">
        <f t="array" ref="J785">_xlfn.IFS(calls[[#This Row],[Duration]]&lt;=10,"Under 10 mins", calls[[#This Row],[Duration]]&lt;=30, "10 to 30 mins", calls[[#This Row],[Duration]]&lt;=60, "30 to 60 mins", calls[[#This Row],[Duration]]&lt;=120, "1 to 2 hours", TRUE, "More than 2 hours")</f>
        <v>More than 2 hours</v>
      </c>
      <c r="K785">
        <f>ROUND(calls[[#This Row],[Satisfaction Rating]],0)</f>
        <v>5</v>
      </c>
    </row>
    <row r="786" spans="1:11" ht="13.8" x14ac:dyDescent="0.25">
      <c r="A786" t="s">
        <v>815</v>
      </c>
      <c r="B786" t="s">
        <v>84</v>
      </c>
      <c r="C786">
        <v>109</v>
      </c>
      <c r="D786" s="4" t="s">
        <v>13</v>
      </c>
      <c r="E786" s="5">
        <v>45200</v>
      </c>
      <c r="F786">
        <v>44</v>
      </c>
      <c r="G786">
        <v>4.5999999999999996</v>
      </c>
      <c r="H786">
        <f>IF(MONTH(calls[[#This Row],[Date of Call]])&lt;=6, YEAR(calls[[#This Row],[Date of Call]]), YEAR(calls[[#This Row],[Date of Call]])+1)</f>
        <v>2024</v>
      </c>
      <c r="I786" t="str">
        <f>TEXT(calls[[#This Row],[Date of Call]],"DDDD")</f>
        <v>Sunday</v>
      </c>
      <c r="J786" t="str">
        <f t="array" ref="J786">_xlfn.IFS(calls[[#This Row],[Duration]]&lt;=10,"Under 10 mins", calls[[#This Row],[Duration]]&lt;=30, "10 to 30 mins", calls[[#This Row],[Duration]]&lt;=60, "30 to 60 mins", calls[[#This Row],[Duration]]&lt;=120, "1 to 2 hours", TRUE, "More than 2 hours")</f>
        <v>1 to 2 hours</v>
      </c>
      <c r="K786">
        <f>ROUND(calls[[#This Row],[Satisfaction Rating]],0)</f>
        <v>5</v>
      </c>
    </row>
    <row r="787" spans="1:11" ht="13.8" x14ac:dyDescent="0.25">
      <c r="A787" t="s">
        <v>816</v>
      </c>
      <c r="B787" t="s">
        <v>26</v>
      </c>
      <c r="C787">
        <v>142</v>
      </c>
      <c r="D787" s="4" t="s">
        <v>13</v>
      </c>
      <c r="E787" s="5">
        <v>45200</v>
      </c>
      <c r="F787">
        <v>44</v>
      </c>
      <c r="G787">
        <v>4.8</v>
      </c>
      <c r="H787">
        <f>IF(MONTH(calls[[#This Row],[Date of Call]])&lt;=6, YEAR(calls[[#This Row],[Date of Call]]), YEAR(calls[[#This Row],[Date of Call]])+1)</f>
        <v>2024</v>
      </c>
      <c r="I787" t="str">
        <f>TEXT(calls[[#This Row],[Date of Call]],"DDDD")</f>
        <v>Sunday</v>
      </c>
      <c r="J787" t="str">
        <f t="array" ref="J787">_xlfn.IFS(calls[[#This Row],[Duration]]&lt;=10,"Under 10 mins", calls[[#This Row],[Duration]]&lt;=30, "10 to 30 mins", calls[[#This Row],[Duration]]&lt;=60, "30 to 60 mins", calls[[#This Row],[Duration]]&lt;=120, "1 to 2 hours", TRUE, "More than 2 hours")</f>
        <v>More than 2 hours</v>
      </c>
      <c r="K787">
        <f>ROUND(calls[[#This Row],[Satisfaction Rating]],0)</f>
        <v>5</v>
      </c>
    </row>
    <row r="788" spans="1:11" ht="13.8" x14ac:dyDescent="0.25">
      <c r="A788" t="s">
        <v>817</v>
      </c>
      <c r="B788" t="s">
        <v>43</v>
      </c>
      <c r="C788">
        <v>114</v>
      </c>
      <c r="D788" s="4" t="s">
        <v>32</v>
      </c>
      <c r="E788" s="5">
        <v>45201</v>
      </c>
      <c r="F788">
        <v>135</v>
      </c>
      <c r="G788">
        <v>2</v>
      </c>
      <c r="H788">
        <f>IF(MONTH(calls[[#This Row],[Date of Call]])&lt;=6, YEAR(calls[[#This Row],[Date of Call]]), YEAR(calls[[#This Row],[Date of Call]])+1)</f>
        <v>2024</v>
      </c>
      <c r="I788" t="str">
        <f>TEXT(calls[[#This Row],[Date of Call]],"DDDD")</f>
        <v>Monday</v>
      </c>
      <c r="J788" t="str">
        <f t="array" ref="J788">_xlfn.IFS(calls[[#This Row],[Duration]]&lt;=10,"Under 10 mins", calls[[#This Row],[Duration]]&lt;=30, "10 to 30 mins", calls[[#This Row],[Duration]]&lt;=60, "30 to 60 mins", calls[[#This Row],[Duration]]&lt;=120, "1 to 2 hours", TRUE, "More than 2 hours")</f>
        <v>1 to 2 hours</v>
      </c>
      <c r="K788">
        <f>ROUND(calls[[#This Row],[Satisfaction Rating]],0)</f>
        <v>2</v>
      </c>
    </row>
    <row r="789" spans="1:11" ht="13.8" x14ac:dyDescent="0.25">
      <c r="A789" t="s">
        <v>818</v>
      </c>
      <c r="B789" t="s">
        <v>20</v>
      </c>
      <c r="C789">
        <v>93</v>
      </c>
      <c r="D789" s="4" t="s">
        <v>23</v>
      </c>
      <c r="E789" s="5">
        <v>45201</v>
      </c>
      <c r="F789">
        <v>45</v>
      </c>
      <c r="G789">
        <v>3.9</v>
      </c>
      <c r="H789">
        <f>IF(MONTH(calls[[#This Row],[Date of Call]])&lt;=6, YEAR(calls[[#This Row],[Date of Call]]), YEAR(calls[[#This Row],[Date of Call]])+1)</f>
        <v>2024</v>
      </c>
      <c r="I789" t="str">
        <f>TEXT(calls[[#This Row],[Date of Call]],"DDDD")</f>
        <v>Monday</v>
      </c>
      <c r="J789" t="str">
        <f t="array" ref="J789">_xlfn.IFS(calls[[#This Row],[Duration]]&lt;=10,"Under 10 mins", calls[[#This Row],[Duration]]&lt;=30, "10 to 30 mins", calls[[#This Row],[Duration]]&lt;=60, "30 to 60 mins", calls[[#This Row],[Duration]]&lt;=120, "1 to 2 hours", TRUE, "More than 2 hours")</f>
        <v>1 to 2 hours</v>
      </c>
      <c r="K789">
        <f>ROUND(calls[[#This Row],[Satisfaction Rating]],0)</f>
        <v>4</v>
      </c>
    </row>
    <row r="790" spans="1:11" ht="13.8" x14ac:dyDescent="0.25">
      <c r="A790" t="s">
        <v>819</v>
      </c>
      <c r="B790" t="s">
        <v>64</v>
      </c>
      <c r="C790">
        <v>43</v>
      </c>
      <c r="D790" s="4" t="s">
        <v>23</v>
      </c>
      <c r="E790" s="5">
        <v>45201</v>
      </c>
      <c r="F790">
        <v>87</v>
      </c>
      <c r="G790">
        <v>3</v>
      </c>
      <c r="H790">
        <f>IF(MONTH(calls[[#This Row],[Date of Call]])&lt;=6, YEAR(calls[[#This Row],[Date of Call]]), YEAR(calls[[#This Row],[Date of Call]])+1)</f>
        <v>2024</v>
      </c>
      <c r="I790" t="str">
        <f>TEXT(calls[[#This Row],[Date of Call]],"DDDD")</f>
        <v>Monday</v>
      </c>
      <c r="J790" t="str">
        <f t="array" ref="J790">_xlfn.IFS(calls[[#This Row],[Duration]]&lt;=10,"Under 10 mins", calls[[#This Row],[Duration]]&lt;=30, "10 to 30 mins", calls[[#This Row],[Duration]]&lt;=60, "30 to 60 mins", calls[[#This Row],[Duration]]&lt;=120, "1 to 2 hours", TRUE, "More than 2 hours")</f>
        <v>30 to 60 mins</v>
      </c>
      <c r="K790">
        <f>ROUND(calls[[#This Row],[Satisfaction Rating]],0)</f>
        <v>3</v>
      </c>
    </row>
    <row r="791" spans="1:11" ht="13.8" x14ac:dyDescent="0.25">
      <c r="A791" t="s">
        <v>820</v>
      </c>
      <c r="B791" t="s">
        <v>37</v>
      </c>
      <c r="C791">
        <v>78</v>
      </c>
      <c r="D791" s="4" t="s">
        <v>28</v>
      </c>
      <c r="E791" s="5">
        <v>45202</v>
      </c>
      <c r="F791">
        <v>84</v>
      </c>
      <c r="G791">
        <v>4.5999999999999996</v>
      </c>
      <c r="H791">
        <f>IF(MONTH(calls[[#This Row],[Date of Call]])&lt;=6, YEAR(calls[[#This Row],[Date of Call]]), YEAR(calls[[#This Row],[Date of Call]])+1)</f>
        <v>2024</v>
      </c>
      <c r="I791" t="str">
        <f>TEXT(calls[[#This Row],[Date of Call]],"DDDD")</f>
        <v>Tuesday</v>
      </c>
      <c r="J791" t="str">
        <f t="array" ref="J791">_xlfn.IFS(calls[[#This Row],[Duration]]&lt;=10,"Under 10 mins", calls[[#This Row],[Duration]]&lt;=30, "10 to 30 mins", calls[[#This Row],[Duration]]&lt;=60, "30 to 60 mins", calls[[#This Row],[Duration]]&lt;=120, "1 to 2 hours", TRUE, "More than 2 hours")</f>
        <v>1 to 2 hours</v>
      </c>
      <c r="K791">
        <f>ROUND(calls[[#This Row],[Satisfaction Rating]],0)</f>
        <v>5</v>
      </c>
    </row>
    <row r="792" spans="1:11" ht="13.8" x14ac:dyDescent="0.25">
      <c r="A792" t="s">
        <v>821</v>
      </c>
      <c r="B792" t="s">
        <v>43</v>
      </c>
      <c r="C792">
        <v>89</v>
      </c>
      <c r="D792" s="4" t="s">
        <v>13</v>
      </c>
      <c r="E792" s="5">
        <v>45202</v>
      </c>
      <c r="F792">
        <v>81</v>
      </c>
      <c r="G792">
        <v>3.8</v>
      </c>
      <c r="H792">
        <f>IF(MONTH(calls[[#This Row],[Date of Call]])&lt;=6, YEAR(calls[[#This Row],[Date of Call]]), YEAR(calls[[#This Row],[Date of Call]])+1)</f>
        <v>2024</v>
      </c>
      <c r="I792" t="str">
        <f>TEXT(calls[[#This Row],[Date of Call]],"DDDD")</f>
        <v>Tuesday</v>
      </c>
      <c r="J792" t="str">
        <f t="array" ref="J792">_xlfn.IFS(calls[[#This Row],[Duration]]&lt;=10,"Under 10 mins", calls[[#This Row],[Duration]]&lt;=30, "10 to 30 mins", calls[[#This Row],[Duration]]&lt;=60, "30 to 60 mins", calls[[#This Row],[Duration]]&lt;=120, "1 to 2 hours", TRUE, "More than 2 hours")</f>
        <v>1 to 2 hours</v>
      </c>
      <c r="K792">
        <f>ROUND(calls[[#This Row],[Satisfaction Rating]],0)</f>
        <v>4</v>
      </c>
    </row>
    <row r="793" spans="1:11" ht="13.8" x14ac:dyDescent="0.25">
      <c r="A793" t="s">
        <v>822</v>
      </c>
      <c r="B793" t="s">
        <v>26</v>
      </c>
      <c r="C793">
        <v>82</v>
      </c>
      <c r="D793" s="4" t="s">
        <v>18</v>
      </c>
      <c r="E793" s="5">
        <v>45202</v>
      </c>
      <c r="F793">
        <v>130</v>
      </c>
      <c r="G793">
        <v>4.4000000000000004</v>
      </c>
      <c r="H793">
        <f>IF(MONTH(calls[[#This Row],[Date of Call]])&lt;=6, YEAR(calls[[#This Row],[Date of Call]]), YEAR(calls[[#This Row],[Date of Call]])+1)</f>
        <v>2024</v>
      </c>
      <c r="I793" t="str">
        <f>TEXT(calls[[#This Row],[Date of Call]],"DDDD")</f>
        <v>Tuesday</v>
      </c>
      <c r="J793" t="str">
        <f t="array" ref="J793">_xlfn.IFS(calls[[#This Row],[Duration]]&lt;=10,"Under 10 mins", calls[[#This Row],[Duration]]&lt;=30, "10 to 30 mins", calls[[#This Row],[Duration]]&lt;=60, "30 to 60 mins", calls[[#This Row],[Duration]]&lt;=120, "1 to 2 hours", TRUE, "More than 2 hours")</f>
        <v>1 to 2 hours</v>
      </c>
      <c r="K793">
        <f>ROUND(calls[[#This Row],[Satisfaction Rating]],0)</f>
        <v>4</v>
      </c>
    </row>
    <row r="794" spans="1:11" ht="13.8" x14ac:dyDescent="0.25">
      <c r="A794" t="s">
        <v>823</v>
      </c>
      <c r="B794" t="s">
        <v>22</v>
      </c>
      <c r="C794">
        <v>86</v>
      </c>
      <c r="D794" s="4" t="s">
        <v>13</v>
      </c>
      <c r="E794" s="5">
        <v>45203</v>
      </c>
      <c r="F794">
        <v>92</v>
      </c>
      <c r="G794">
        <v>2.4</v>
      </c>
      <c r="H794">
        <f>IF(MONTH(calls[[#This Row],[Date of Call]])&lt;=6, YEAR(calls[[#This Row],[Date of Call]]), YEAR(calls[[#This Row],[Date of Call]])+1)</f>
        <v>2024</v>
      </c>
      <c r="I794" t="str">
        <f>TEXT(calls[[#This Row],[Date of Call]],"DDDD")</f>
        <v>Wednesday</v>
      </c>
      <c r="J794" t="str">
        <f t="array" ref="J794">_xlfn.IFS(calls[[#This Row],[Duration]]&lt;=10,"Under 10 mins", calls[[#This Row],[Duration]]&lt;=30, "10 to 30 mins", calls[[#This Row],[Duration]]&lt;=60, "30 to 60 mins", calls[[#This Row],[Duration]]&lt;=120, "1 to 2 hours", TRUE, "More than 2 hours")</f>
        <v>1 to 2 hours</v>
      </c>
      <c r="K794">
        <f>ROUND(calls[[#This Row],[Satisfaction Rating]],0)</f>
        <v>2</v>
      </c>
    </row>
    <row r="795" spans="1:11" ht="13.8" x14ac:dyDescent="0.25">
      <c r="A795" t="s">
        <v>824</v>
      </c>
      <c r="B795" t="s">
        <v>54</v>
      </c>
      <c r="C795">
        <v>57</v>
      </c>
      <c r="D795" s="4" t="s">
        <v>28</v>
      </c>
      <c r="E795" s="5">
        <v>45203</v>
      </c>
      <c r="F795">
        <v>48</v>
      </c>
      <c r="G795">
        <v>4.5</v>
      </c>
      <c r="H795">
        <f>IF(MONTH(calls[[#This Row],[Date of Call]])&lt;=6, YEAR(calls[[#This Row],[Date of Call]]), YEAR(calls[[#This Row],[Date of Call]])+1)</f>
        <v>2024</v>
      </c>
      <c r="I795" t="str">
        <f>TEXT(calls[[#This Row],[Date of Call]],"DDDD")</f>
        <v>Wednesday</v>
      </c>
      <c r="J795" t="str">
        <f t="array" ref="J795">_xlfn.IFS(calls[[#This Row],[Duration]]&lt;=10,"Under 10 mins", calls[[#This Row],[Duration]]&lt;=30, "10 to 30 mins", calls[[#This Row],[Duration]]&lt;=60, "30 to 60 mins", calls[[#This Row],[Duration]]&lt;=120, "1 to 2 hours", TRUE, "More than 2 hours")</f>
        <v>30 to 60 mins</v>
      </c>
      <c r="K795">
        <f>ROUND(calls[[#This Row],[Satisfaction Rating]],0)</f>
        <v>5</v>
      </c>
    </row>
    <row r="796" spans="1:11" ht="13.8" x14ac:dyDescent="0.25">
      <c r="A796" t="s">
        <v>825</v>
      </c>
      <c r="B796" t="s">
        <v>20</v>
      </c>
      <c r="C796">
        <v>103</v>
      </c>
      <c r="D796" s="4" t="s">
        <v>32</v>
      </c>
      <c r="E796" s="5">
        <v>45203</v>
      </c>
      <c r="F796">
        <v>160</v>
      </c>
      <c r="G796">
        <v>4.5</v>
      </c>
      <c r="H796">
        <f>IF(MONTH(calls[[#This Row],[Date of Call]])&lt;=6, YEAR(calls[[#This Row],[Date of Call]]), YEAR(calls[[#This Row],[Date of Call]])+1)</f>
        <v>2024</v>
      </c>
      <c r="I796" t="str">
        <f>TEXT(calls[[#This Row],[Date of Call]],"DDDD")</f>
        <v>Wednesday</v>
      </c>
      <c r="J796" t="str">
        <f t="array" ref="J796">_xlfn.IFS(calls[[#This Row],[Duration]]&lt;=10,"Under 10 mins", calls[[#This Row],[Duration]]&lt;=30, "10 to 30 mins", calls[[#This Row],[Duration]]&lt;=60, "30 to 60 mins", calls[[#This Row],[Duration]]&lt;=120, "1 to 2 hours", TRUE, "More than 2 hours")</f>
        <v>1 to 2 hours</v>
      </c>
      <c r="K796">
        <f>ROUND(calls[[#This Row],[Satisfaction Rating]],0)</f>
        <v>5</v>
      </c>
    </row>
    <row r="797" spans="1:11" ht="13.8" x14ac:dyDescent="0.25">
      <c r="A797" t="s">
        <v>826</v>
      </c>
      <c r="B797" t="s">
        <v>35</v>
      </c>
      <c r="C797">
        <v>138</v>
      </c>
      <c r="D797" s="4" t="s">
        <v>28</v>
      </c>
      <c r="E797" s="5">
        <v>45204</v>
      </c>
      <c r="F797">
        <v>155</v>
      </c>
      <c r="G797">
        <v>2.7</v>
      </c>
      <c r="H797">
        <f>IF(MONTH(calls[[#This Row],[Date of Call]])&lt;=6, YEAR(calls[[#This Row],[Date of Call]]), YEAR(calls[[#This Row],[Date of Call]])+1)</f>
        <v>2024</v>
      </c>
      <c r="I797" t="str">
        <f>TEXT(calls[[#This Row],[Date of Call]],"DDDD")</f>
        <v>Thursday</v>
      </c>
      <c r="J797" t="str">
        <f t="array" ref="J797">_xlfn.IFS(calls[[#This Row],[Duration]]&lt;=10,"Under 10 mins", calls[[#This Row],[Duration]]&lt;=30, "10 to 30 mins", calls[[#This Row],[Duration]]&lt;=60, "30 to 60 mins", calls[[#This Row],[Duration]]&lt;=120, "1 to 2 hours", TRUE, "More than 2 hours")</f>
        <v>More than 2 hours</v>
      </c>
      <c r="K797">
        <f>ROUND(calls[[#This Row],[Satisfaction Rating]],0)</f>
        <v>3</v>
      </c>
    </row>
    <row r="798" spans="1:11" ht="13.8" x14ac:dyDescent="0.25">
      <c r="A798" t="s">
        <v>827</v>
      </c>
      <c r="B798" t="s">
        <v>31</v>
      </c>
      <c r="C798">
        <v>88</v>
      </c>
      <c r="D798" s="4" t="s">
        <v>18</v>
      </c>
      <c r="E798" s="5">
        <v>45204</v>
      </c>
      <c r="F798">
        <v>100</v>
      </c>
      <c r="G798">
        <v>4.9000000000000004</v>
      </c>
      <c r="H798">
        <f>IF(MONTH(calls[[#This Row],[Date of Call]])&lt;=6, YEAR(calls[[#This Row],[Date of Call]]), YEAR(calls[[#This Row],[Date of Call]])+1)</f>
        <v>2024</v>
      </c>
      <c r="I798" t="str">
        <f>TEXT(calls[[#This Row],[Date of Call]],"DDDD")</f>
        <v>Thursday</v>
      </c>
      <c r="J798" t="str">
        <f t="array" ref="J798">_xlfn.IFS(calls[[#This Row],[Duration]]&lt;=10,"Under 10 mins", calls[[#This Row],[Duration]]&lt;=30, "10 to 30 mins", calls[[#This Row],[Duration]]&lt;=60, "30 to 60 mins", calls[[#This Row],[Duration]]&lt;=120, "1 to 2 hours", TRUE, "More than 2 hours")</f>
        <v>1 to 2 hours</v>
      </c>
      <c r="K798">
        <f>ROUND(calls[[#This Row],[Satisfaction Rating]],0)</f>
        <v>5</v>
      </c>
    </row>
    <row r="799" spans="1:11" ht="13.8" x14ac:dyDescent="0.25">
      <c r="A799" t="s">
        <v>828</v>
      </c>
      <c r="B799" t="s">
        <v>43</v>
      </c>
      <c r="C799">
        <v>118</v>
      </c>
      <c r="D799" s="4" t="s">
        <v>23</v>
      </c>
      <c r="E799" s="5">
        <v>45204</v>
      </c>
      <c r="F799">
        <v>56</v>
      </c>
      <c r="G799">
        <v>3.7</v>
      </c>
      <c r="H799">
        <f>IF(MONTH(calls[[#This Row],[Date of Call]])&lt;=6, YEAR(calls[[#This Row],[Date of Call]]), YEAR(calls[[#This Row],[Date of Call]])+1)</f>
        <v>2024</v>
      </c>
      <c r="I799" t="str">
        <f>TEXT(calls[[#This Row],[Date of Call]],"DDDD")</f>
        <v>Thursday</v>
      </c>
      <c r="J799" t="str">
        <f t="array" ref="J799">_xlfn.IFS(calls[[#This Row],[Duration]]&lt;=10,"Under 10 mins", calls[[#This Row],[Duration]]&lt;=30, "10 to 30 mins", calls[[#This Row],[Duration]]&lt;=60, "30 to 60 mins", calls[[#This Row],[Duration]]&lt;=120, "1 to 2 hours", TRUE, "More than 2 hours")</f>
        <v>1 to 2 hours</v>
      </c>
      <c r="K799">
        <f>ROUND(calls[[#This Row],[Satisfaction Rating]],0)</f>
        <v>4</v>
      </c>
    </row>
    <row r="800" spans="1:11" ht="13.8" x14ac:dyDescent="0.25">
      <c r="A800" t="s">
        <v>829</v>
      </c>
      <c r="B800" t="s">
        <v>22</v>
      </c>
      <c r="C800">
        <v>4</v>
      </c>
      <c r="D800" s="4" t="s">
        <v>13</v>
      </c>
      <c r="E800" s="5">
        <v>45204</v>
      </c>
      <c r="F800">
        <v>170</v>
      </c>
      <c r="G800">
        <v>3.9</v>
      </c>
      <c r="H800">
        <f>IF(MONTH(calls[[#This Row],[Date of Call]])&lt;=6, YEAR(calls[[#This Row],[Date of Call]]), YEAR(calls[[#This Row],[Date of Call]])+1)</f>
        <v>2024</v>
      </c>
      <c r="I800" t="str">
        <f>TEXT(calls[[#This Row],[Date of Call]],"DDDD")</f>
        <v>Thursday</v>
      </c>
      <c r="J800" t="str">
        <f t="array" ref="J800">_xlfn.IFS(calls[[#This Row],[Duration]]&lt;=10,"Under 10 mins", calls[[#This Row],[Duration]]&lt;=30, "10 to 30 mins", calls[[#This Row],[Duration]]&lt;=60, "30 to 60 mins", calls[[#This Row],[Duration]]&lt;=120, "1 to 2 hours", TRUE, "More than 2 hours")</f>
        <v>Under 10 mins</v>
      </c>
      <c r="K800">
        <f>ROUND(calls[[#This Row],[Satisfaction Rating]],0)</f>
        <v>4</v>
      </c>
    </row>
    <row r="801" spans="1:11" ht="13.8" x14ac:dyDescent="0.25">
      <c r="A801" t="s">
        <v>830</v>
      </c>
      <c r="B801" t="s">
        <v>64</v>
      </c>
      <c r="C801">
        <v>78</v>
      </c>
      <c r="D801" s="4" t="s">
        <v>32</v>
      </c>
      <c r="E801" s="5">
        <v>45205</v>
      </c>
      <c r="F801">
        <v>74</v>
      </c>
      <c r="G801">
        <v>3.5</v>
      </c>
      <c r="H801">
        <f>IF(MONTH(calls[[#This Row],[Date of Call]])&lt;=6, YEAR(calls[[#This Row],[Date of Call]]), YEAR(calls[[#This Row],[Date of Call]])+1)</f>
        <v>2024</v>
      </c>
      <c r="I801" t="str">
        <f>TEXT(calls[[#This Row],[Date of Call]],"DDDD")</f>
        <v>Friday</v>
      </c>
      <c r="J801" t="str">
        <f t="array" ref="J801">_xlfn.IFS(calls[[#This Row],[Duration]]&lt;=10,"Under 10 mins", calls[[#This Row],[Duration]]&lt;=30, "10 to 30 mins", calls[[#This Row],[Duration]]&lt;=60, "30 to 60 mins", calls[[#This Row],[Duration]]&lt;=120, "1 to 2 hours", TRUE, "More than 2 hours")</f>
        <v>1 to 2 hours</v>
      </c>
      <c r="K801">
        <f>ROUND(calls[[#This Row],[Satisfaction Rating]],0)</f>
        <v>4</v>
      </c>
    </row>
    <row r="802" spans="1:11" ht="13.8" x14ac:dyDescent="0.25">
      <c r="A802" t="s">
        <v>831</v>
      </c>
      <c r="B802" t="s">
        <v>46</v>
      </c>
      <c r="C802">
        <v>69</v>
      </c>
      <c r="D802" s="4" t="s">
        <v>13</v>
      </c>
      <c r="E802" s="5">
        <v>45205</v>
      </c>
      <c r="F802">
        <v>99</v>
      </c>
      <c r="G802">
        <v>2.7</v>
      </c>
      <c r="H802">
        <f>IF(MONTH(calls[[#This Row],[Date of Call]])&lt;=6, YEAR(calls[[#This Row],[Date of Call]]), YEAR(calls[[#This Row],[Date of Call]])+1)</f>
        <v>2024</v>
      </c>
      <c r="I802" t="str">
        <f>TEXT(calls[[#This Row],[Date of Call]],"DDDD")</f>
        <v>Friday</v>
      </c>
      <c r="J802" t="str">
        <f t="array" ref="J802">_xlfn.IFS(calls[[#This Row],[Duration]]&lt;=10,"Under 10 mins", calls[[#This Row],[Duration]]&lt;=30, "10 to 30 mins", calls[[#This Row],[Duration]]&lt;=60, "30 to 60 mins", calls[[#This Row],[Duration]]&lt;=120, "1 to 2 hours", TRUE, "More than 2 hours")</f>
        <v>1 to 2 hours</v>
      </c>
      <c r="K802">
        <f>ROUND(calls[[#This Row],[Satisfaction Rating]],0)</f>
        <v>3</v>
      </c>
    </row>
    <row r="803" spans="1:11" ht="13.8" x14ac:dyDescent="0.25">
      <c r="A803" t="s">
        <v>832</v>
      </c>
      <c r="B803" t="s">
        <v>26</v>
      </c>
      <c r="C803">
        <v>90</v>
      </c>
      <c r="D803" s="4" t="s">
        <v>28</v>
      </c>
      <c r="E803" s="5">
        <v>45205</v>
      </c>
      <c r="F803">
        <v>84</v>
      </c>
      <c r="G803">
        <v>3.9</v>
      </c>
      <c r="H803">
        <f>IF(MONTH(calls[[#This Row],[Date of Call]])&lt;=6, YEAR(calls[[#This Row],[Date of Call]]), YEAR(calls[[#This Row],[Date of Call]])+1)</f>
        <v>2024</v>
      </c>
      <c r="I803" t="str">
        <f>TEXT(calls[[#This Row],[Date of Call]],"DDDD")</f>
        <v>Friday</v>
      </c>
      <c r="J803" t="str">
        <f t="array" ref="J803">_xlfn.IFS(calls[[#This Row],[Duration]]&lt;=10,"Under 10 mins", calls[[#This Row],[Duration]]&lt;=30, "10 to 30 mins", calls[[#This Row],[Duration]]&lt;=60, "30 to 60 mins", calls[[#This Row],[Duration]]&lt;=120, "1 to 2 hours", TRUE, "More than 2 hours")</f>
        <v>1 to 2 hours</v>
      </c>
      <c r="K803">
        <f>ROUND(calls[[#This Row],[Satisfaction Rating]],0)</f>
        <v>4</v>
      </c>
    </row>
    <row r="804" spans="1:11" ht="13.8" x14ac:dyDescent="0.25">
      <c r="A804" t="s">
        <v>833</v>
      </c>
      <c r="B804" t="s">
        <v>46</v>
      </c>
      <c r="C804">
        <v>134</v>
      </c>
      <c r="D804" s="4" t="s">
        <v>13</v>
      </c>
      <c r="E804" s="5">
        <v>45205</v>
      </c>
      <c r="F804">
        <v>35</v>
      </c>
      <c r="G804">
        <v>3.4</v>
      </c>
      <c r="H804">
        <f>IF(MONTH(calls[[#This Row],[Date of Call]])&lt;=6, YEAR(calls[[#This Row],[Date of Call]]), YEAR(calls[[#This Row],[Date of Call]])+1)</f>
        <v>2024</v>
      </c>
      <c r="I804" t="str">
        <f>TEXT(calls[[#This Row],[Date of Call]],"DDDD")</f>
        <v>Friday</v>
      </c>
      <c r="J804" t="str">
        <f t="array" ref="J804">_xlfn.IFS(calls[[#This Row],[Duration]]&lt;=10,"Under 10 mins", calls[[#This Row],[Duration]]&lt;=30, "10 to 30 mins", calls[[#This Row],[Duration]]&lt;=60, "30 to 60 mins", calls[[#This Row],[Duration]]&lt;=120, "1 to 2 hours", TRUE, "More than 2 hours")</f>
        <v>More than 2 hours</v>
      </c>
      <c r="K804">
        <f>ROUND(calls[[#This Row],[Satisfaction Rating]],0)</f>
        <v>3</v>
      </c>
    </row>
    <row r="805" spans="1:11" ht="13.8" x14ac:dyDescent="0.25">
      <c r="A805" t="s">
        <v>834</v>
      </c>
      <c r="B805" t="s">
        <v>15</v>
      </c>
      <c r="C805">
        <v>65</v>
      </c>
      <c r="D805" s="4" t="s">
        <v>23</v>
      </c>
      <c r="E805" s="5">
        <v>45205</v>
      </c>
      <c r="F805">
        <v>150</v>
      </c>
      <c r="G805">
        <v>5</v>
      </c>
      <c r="H805">
        <f>IF(MONTH(calls[[#This Row],[Date of Call]])&lt;=6, YEAR(calls[[#This Row],[Date of Call]]), YEAR(calls[[#This Row],[Date of Call]])+1)</f>
        <v>2024</v>
      </c>
      <c r="I805" t="str">
        <f>TEXT(calls[[#This Row],[Date of Call]],"DDDD")</f>
        <v>Friday</v>
      </c>
      <c r="J805" t="str">
        <f t="array" ref="J805">_xlfn.IFS(calls[[#This Row],[Duration]]&lt;=10,"Under 10 mins", calls[[#This Row],[Duration]]&lt;=30, "10 to 30 mins", calls[[#This Row],[Duration]]&lt;=60, "30 to 60 mins", calls[[#This Row],[Duration]]&lt;=120, "1 to 2 hours", TRUE, "More than 2 hours")</f>
        <v>1 to 2 hours</v>
      </c>
      <c r="K805">
        <f>ROUND(calls[[#This Row],[Satisfaction Rating]],0)</f>
        <v>5</v>
      </c>
    </row>
    <row r="806" spans="1:11" ht="13.8" x14ac:dyDescent="0.25">
      <c r="A806" t="s">
        <v>835</v>
      </c>
      <c r="B806" t="s">
        <v>17</v>
      </c>
      <c r="C806">
        <v>54</v>
      </c>
      <c r="D806" s="4" t="s">
        <v>32</v>
      </c>
      <c r="E806" s="5">
        <v>45206</v>
      </c>
      <c r="F806">
        <v>176</v>
      </c>
      <c r="G806">
        <v>4.4000000000000004</v>
      </c>
      <c r="H806">
        <f>IF(MONTH(calls[[#This Row],[Date of Call]])&lt;=6, YEAR(calls[[#This Row],[Date of Call]]), YEAR(calls[[#This Row],[Date of Call]])+1)</f>
        <v>2024</v>
      </c>
      <c r="I806" t="str">
        <f>TEXT(calls[[#This Row],[Date of Call]],"DDDD")</f>
        <v>Saturday</v>
      </c>
      <c r="J806" t="str">
        <f t="array" ref="J806">_xlfn.IFS(calls[[#This Row],[Duration]]&lt;=10,"Under 10 mins", calls[[#This Row],[Duration]]&lt;=30, "10 to 30 mins", calls[[#This Row],[Duration]]&lt;=60, "30 to 60 mins", calls[[#This Row],[Duration]]&lt;=120, "1 to 2 hours", TRUE, "More than 2 hours")</f>
        <v>30 to 60 mins</v>
      </c>
      <c r="K806">
        <f>ROUND(calls[[#This Row],[Satisfaction Rating]],0)</f>
        <v>4</v>
      </c>
    </row>
    <row r="807" spans="1:11" ht="13.8" x14ac:dyDescent="0.25">
      <c r="A807" t="s">
        <v>836</v>
      </c>
      <c r="B807" t="s">
        <v>17</v>
      </c>
      <c r="C807">
        <v>90</v>
      </c>
      <c r="D807" s="4" t="s">
        <v>32</v>
      </c>
      <c r="E807" s="5">
        <v>45206</v>
      </c>
      <c r="F807">
        <v>84</v>
      </c>
      <c r="G807">
        <v>4.3</v>
      </c>
      <c r="H807">
        <f>IF(MONTH(calls[[#This Row],[Date of Call]])&lt;=6, YEAR(calls[[#This Row],[Date of Call]]), YEAR(calls[[#This Row],[Date of Call]])+1)</f>
        <v>2024</v>
      </c>
      <c r="I807" t="str">
        <f>TEXT(calls[[#This Row],[Date of Call]],"DDDD")</f>
        <v>Saturday</v>
      </c>
      <c r="J807" t="str">
        <f t="array" ref="J807">_xlfn.IFS(calls[[#This Row],[Duration]]&lt;=10,"Under 10 mins", calls[[#This Row],[Duration]]&lt;=30, "10 to 30 mins", calls[[#This Row],[Duration]]&lt;=60, "30 to 60 mins", calls[[#This Row],[Duration]]&lt;=120, "1 to 2 hours", TRUE, "More than 2 hours")</f>
        <v>1 to 2 hours</v>
      </c>
      <c r="K807">
        <f>ROUND(calls[[#This Row],[Satisfaction Rating]],0)</f>
        <v>4</v>
      </c>
    </row>
    <row r="808" spans="1:11" ht="13.8" x14ac:dyDescent="0.25">
      <c r="A808" t="s">
        <v>837</v>
      </c>
      <c r="B808" t="s">
        <v>26</v>
      </c>
      <c r="C808">
        <v>66</v>
      </c>
      <c r="D808" s="4" t="s">
        <v>32</v>
      </c>
      <c r="E808" s="5">
        <v>45206</v>
      </c>
      <c r="F808">
        <v>136</v>
      </c>
      <c r="G808">
        <v>4.7</v>
      </c>
      <c r="H808">
        <f>IF(MONTH(calls[[#This Row],[Date of Call]])&lt;=6, YEAR(calls[[#This Row],[Date of Call]]), YEAR(calls[[#This Row],[Date of Call]])+1)</f>
        <v>2024</v>
      </c>
      <c r="I808" t="str">
        <f>TEXT(calls[[#This Row],[Date of Call]],"DDDD")</f>
        <v>Saturday</v>
      </c>
      <c r="J808" t="str">
        <f t="array" ref="J808">_xlfn.IFS(calls[[#This Row],[Duration]]&lt;=10,"Under 10 mins", calls[[#This Row],[Duration]]&lt;=30, "10 to 30 mins", calls[[#This Row],[Duration]]&lt;=60, "30 to 60 mins", calls[[#This Row],[Duration]]&lt;=120, "1 to 2 hours", TRUE, "More than 2 hours")</f>
        <v>1 to 2 hours</v>
      </c>
      <c r="K808">
        <f>ROUND(calls[[#This Row],[Satisfaction Rating]],0)</f>
        <v>5</v>
      </c>
    </row>
    <row r="809" spans="1:11" ht="13.8" x14ac:dyDescent="0.25">
      <c r="A809" t="s">
        <v>838</v>
      </c>
      <c r="B809" t="s">
        <v>22</v>
      </c>
      <c r="C809">
        <v>150</v>
      </c>
      <c r="D809" s="4" t="s">
        <v>32</v>
      </c>
      <c r="E809" s="5">
        <v>45207</v>
      </c>
      <c r="F809">
        <v>70</v>
      </c>
      <c r="G809">
        <v>4.0999999999999996</v>
      </c>
      <c r="H809">
        <f>IF(MONTH(calls[[#This Row],[Date of Call]])&lt;=6, YEAR(calls[[#This Row],[Date of Call]]), YEAR(calls[[#This Row],[Date of Call]])+1)</f>
        <v>2024</v>
      </c>
      <c r="I809" t="str">
        <f>TEXT(calls[[#This Row],[Date of Call]],"DDDD")</f>
        <v>Sunday</v>
      </c>
      <c r="J809" t="str">
        <f t="array" ref="J809">_xlfn.IFS(calls[[#This Row],[Duration]]&lt;=10,"Under 10 mins", calls[[#This Row],[Duration]]&lt;=30, "10 to 30 mins", calls[[#This Row],[Duration]]&lt;=60, "30 to 60 mins", calls[[#This Row],[Duration]]&lt;=120, "1 to 2 hours", TRUE, "More than 2 hours")</f>
        <v>More than 2 hours</v>
      </c>
      <c r="K809">
        <f>ROUND(calls[[#This Row],[Satisfaction Rating]],0)</f>
        <v>4</v>
      </c>
    </row>
    <row r="810" spans="1:11" ht="13.8" x14ac:dyDescent="0.25">
      <c r="A810" t="s">
        <v>839</v>
      </c>
      <c r="B810" t="s">
        <v>37</v>
      </c>
      <c r="C810">
        <v>18</v>
      </c>
      <c r="D810" s="4" t="s">
        <v>23</v>
      </c>
      <c r="E810" s="5">
        <v>45207</v>
      </c>
      <c r="F810">
        <v>96</v>
      </c>
      <c r="G810">
        <v>4.8</v>
      </c>
      <c r="H810">
        <f>IF(MONTH(calls[[#This Row],[Date of Call]])&lt;=6, YEAR(calls[[#This Row],[Date of Call]]), YEAR(calls[[#This Row],[Date of Call]])+1)</f>
        <v>2024</v>
      </c>
      <c r="I810" t="str">
        <f>TEXT(calls[[#This Row],[Date of Call]],"DDDD")</f>
        <v>Sunday</v>
      </c>
      <c r="J810" t="str">
        <f t="array" ref="J810">_xlfn.IFS(calls[[#This Row],[Duration]]&lt;=10,"Under 10 mins", calls[[#This Row],[Duration]]&lt;=30, "10 to 30 mins", calls[[#This Row],[Duration]]&lt;=60, "30 to 60 mins", calls[[#This Row],[Duration]]&lt;=120, "1 to 2 hours", TRUE, "More than 2 hours")</f>
        <v>10 to 30 mins</v>
      </c>
      <c r="K810">
        <f>ROUND(calls[[#This Row],[Satisfaction Rating]],0)</f>
        <v>5</v>
      </c>
    </row>
    <row r="811" spans="1:11" ht="13.8" x14ac:dyDescent="0.25">
      <c r="A811" t="s">
        <v>840</v>
      </c>
      <c r="B811" t="s">
        <v>17</v>
      </c>
      <c r="C811">
        <v>87</v>
      </c>
      <c r="D811" s="4" t="s">
        <v>23</v>
      </c>
      <c r="E811" s="5">
        <v>45207</v>
      </c>
      <c r="F811">
        <v>23</v>
      </c>
      <c r="G811">
        <v>4.2</v>
      </c>
      <c r="H811">
        <f>IF(MONTH(calls[[#This Row],[Date of Call]])&lt;=6, YEAR(calls[[#This Row],[Date of Call]]), YEAR(calls[[#This Row],[Date of Call]])+1)</f>
        <v>2024</v>
      </c>
      <c r="I811" t="str">
        <f>TEXT(calls[[#This Row],[Date of Call]],"DDDD")</f>
        <v>Sunday</v>
      </c>
      <c r="J811" t="str">
        <f t="array" ref="J811">_xlfn.IFS(calls[[#This Row],[Duration]]&lt;=10,"Under 10 mins", calls[[#This Row],[Duration]]&lt;=30, "10 to 30 mins", calls[[#This Row],[Duration]]&lt;=60, "30 to 60 mins", calls[[#This Row],[Duration]]&lt;=120, "1 to 2 hours", TRUE, "More than 2 hours")</f>
        <v>1 to 2 hours</v>
      </c>
      <c r="K811">
        <f>ROUND(calls[[#This Row],[Satisfaction Rating]],0)</f>
        <v>4</v>
      </c>
    </row>
    <row r="812" spans="1:11" ht="13.8" x14ac:dyDescent="0.25">
      <c r="A812" t="s">
        <v>841</v>
      </c>
      <c r="B812" t="s">
        <v>35</v>
      </c>
      <c r="C812">
        <v>94</v>
      </c>
      <c r="D812" s="4" t="s">
        <v>32</v>
      </c>
      <c r="E812" s="5">
        <v>45208</v>
      </c>
      <c r="F812">
        <v>120</v>
      </c>
      <c r="G812">
        <v>3.4</v>
      </c>
      <c r="H812">
        <f>IF(MONTH(calls[[#This Row],[Date of Call]])&lt;=6, YEAR(calls[[#This Row],[Date of Call]]), YEAR(calls[[#This Row],[Date of Call]])+1)</f>
        <v>2024</v>
      </c>
      <c r="I812" t="str">
        <f>TEXT(calls[[#This Row],[Date of Call]],"DDDD")</f>
        <v>Monday</v>
      </c>
      <c r="J812" t="str">
        <f t="array" ref="J812">_xlfn.IFS(calls[[#This Row],[Duration]]&lt;=10,"Under 10 mins", calls[[#This Row],[Duration]]&lt;=30, "10 to 30 mins", calls[[#This Row],[Duration]]&lt;=60, "30 to 60 mins", calls[[#This Row],[Duration]]&lt;=120, "1 to 2 hours", TRUE, "More than 2 hours")</f>
        <v>1 to 2 hours</v>
      </c>
      <c r="K812">
        <f>ROUND(calls[[#This Row],[Satisfaction Rating]],0)</f>
        <v>3</v>
      </c>
    </row>
    <row r="813" spans="1:11" ht="13.8" x14ac:dyDescent="0.25">
      <c r="A813" t="s">
        <v>842</v>
      </c>
      <c r="B813" t="s">
        <v>54</v>
      </c>
      <c r="C813">
        <v>56</v>
      </c>
      <c r="D813" s="4" t="s">
        <v>32</v>
      </c>
      <c r="E813" s="5">
        <v>45208</v>
      </c>
      <c r="F813">
        <v>205</v>
      </c>
      <c r="G813">
        <v>3.3</v>
      </c>
      <c r="H813">
        <f>IF(MONTH(calls[[#This Row],[Date of Call]])&lt;=6, YEAR(calls[[#This Row],[Date of Call]]), YEAR(calls[[#This Row],[Date of Call]])+1)</f>
        <v>2024</v>
      </c>
      <c r="I813" t="str">
        <f>TEXT(calls[[#This Row],[Date of Call]],"DDDD")</f>
        <v>Monday</v>
      </c>
      <c r="J813" t="str">
        <f t="array" ref="J813">_xlfn.IFS(calls[[#This Row],[Duration]]&lt;=10,"Under 10 mins", calls[[#This Row],[Duration]]&lt;=30, "10 to 30 mins", calls[[#This Row],[Duration]]&lt;=60, "30 to 60 mins", calls[[#This Row],[Duration]]&lt;=120, "1 to 2 hours", TRUE, "More than 2 hours")</f>
        <v>30 to 60 mins</v>
      </c>
      <c r="K813">
        <f>ROUND(calls[[#This Row],[Satisfaction Rating]],0)</f>
        <v>3</v>
      </c>
    </row>
    <row r="814" spans="1:11" ht="13.8" x14ac:dyDescent="0.25">
      <c r="A814" t="s">
        <v>843</v>
      </c>
      <c r="B814" t="s">
        <v>43</v>
      </c>
      <c r="C814">
        <v>41</v>
      </c>
      <c r="D814" s="4" t="s">
        <v>18</v>
      </c>
      <c r="E814" s="5">
        <v>45209</v>
      </c>
      <c r="F814">
        <v>42</v>
      </c>
      <c r="G814">
        <v>3.8</v>
      </c>
      <c r="H814">
        <f>IF(MONTH(calls[[#This Row],[Date of Call]])&lt;=6, YEAR(calls[[#This Row],[Date of Call]]), YEAR(calls[[#This Row],[Date of Call]])+1)</f>
        <v>2024</v>
      </c>
      <c r="I814" t="str">
        <f>TEXT(calls[[#This Row],[Date of Call]],"DDDD")</f>
        <v>Tuesday</v>
      </c>
      <c r="J814" t="str">
        <f t="array" ref="J814">_xlfn.IFS(calls[[#This Row],[Duration]]&lt;=10,"Under 10 mins", calls[[#This Row],[Duration]]&lt;=30, "10 to 30 mins", calls[[#This Row],[Duration]]&lt;=60, "30 to 60 mins", calls[[#This Row],[Duration]]&lt;=120, "1 to 2 hours", TRUE, "More than 2 hours")</f>
        <v>30 to 60 mins</v>
      </c>
      <c r="K814">
        <f>ROUND(calls[[#This Row],[Satisfaction Rating]],0)</f>
        <v>4</v>
      </c>
    </row>
    <row r="815" spans="1:11" ht="13.8" x14ac:dyDescent="0.25">
      <c r="A815" t="s">
        <v>844</v>
      </c>
      <c r="B815" t="s">
        <v>22</v>
      </c>
      <c r="C815">
        <v>119</v>
      </c>
      <c r="D815" s="4" t="s">
        <v>28</v>
      </c>
      <c r="E815" s="5">
        <v>45209</v>
      </c>
      <c r="F815">
        <v>111</v>
      </c>
      <c r="G815">
        <v>3.9</v>
      </c>
      <c r="H815">
        <f>IF(MONTH(calls[[#This Row],[Date of Call]])&lt;=6, YEAR(calls[[#This Row],[Date of Call]]), YEAR(calls[[#This Row],[Date of Call]])+1)</f>
        <v>2024</v>
      </c>
      <c r="I815" t="str">
        <f>TEXT(calls[[#This Row],[Date of Call]],"DDDD")</f>
        <v>Tuesday</v>
      </c>
      <c r="J815" t="str">
        <f t="array" ref="J815">_xlfn.IFS(calls[[#This Row],[Duration]]&lt;=10,"Under 10 mins", calls[[#This Row],[Duration]]&lt;=30, "10 to 30 mins", calls[[#This Row],[Duration]]&lt;=60, "30 to 60 mins", calls[[#This Row],[Duration]]&lt;=120, "1 to 2 hours", TRUE, "More than 2 hours")</f>
        <v>1 to 2 hours</v>
      </c>
      <c r="K815">
        <f>ROUND(calls[[#This Row],[Satisfaction Rating]],0)</f>
        <v>4</v>
      </c>
    </row>
    <row r="816" spans="1:11" ht="13.8" x14ac:dyDescent="0.25">
      <c r="A816" t="s">
        <v>845</v>
      </c>
      <c r="B816" t="s">
        <v>20</v>
      </c>
      <c r="C816">
        <v>108</v>
      </c>
      <c r="D816" s="4" t="s">
        <v>32</v>
      </c>
      <c r="E816" s="5">
        <v>45209</v>
      </c>
      <c r="F816">
        <v>68</v>
      </c>
      <c r="G816">
        <v>2.5</v>
      </c>
      <c r="H816">
        <f>IF(MONTH(calls[[#This Row],[Date of Call]])&lt;=6, YEAR(calls[[#This Row],[Date of Call]]), YEAR(calls[[#This Row],[Date of Call]])+1)</f>
        <v>2024</v>
      </c>
      <c r="I816" t="str">
        <f>TEXT(calls[[#This Row],[Date of Call]],"DDDD")</f>
        <v>Tuesday</v>
      </c>
      <c r="J816" t="str">
        <f t="array" ref="J816">_xlfn.IFS(calls[[#This Row],[Duration]]&lt;=10,"Under 10 mins", calls[[#This Row],[Duration]]&lt;=30, "10 to 30 mins", calls[[#This Row],[Duration]]&lt;=60, "30 to 60 mins", calls[[#This Row],[Duration]]&lt;=120, "1 to 2 hours", TRUE, "More than 2 hours")</f>
        <v>1 to 2 hours</v>
      </c>
      <c r="K816">
        <f>ROUND(calls[[#This Row],[Satisfaction Rating]],0)</f>
        <v>3</v>
      </c>
    </row>
    <row r="817" spans="1:11" ht="13.8" x14ac:dyDescent="0.25">
      <c r="A817" t="s">
        <v>846</v>
      </c>
      <c r="B817" t="s">
        <v>64</v>
      </c>
      <c r="C817">
        <v>63</v>
      </c>
      <c r="D817" s="4" t="s">
        <v>13</v>
      </c>
      <c r="E817" s="5">
        <v>45209</v>
      </c>
      <c r="F817">
        <v>172</v>
      </c>
      <c r="G817">
        <v>4.9000000000000004</v>
      </c>
      <c r="H817">
        <f>IF(MONTH(calls[[#This Row],[Date of Call]])&lt;=6, YEAR(calls[[#This Row],[Date of Call]]), YEAR(calls[[#This Row],[Date of Call]])+1)</f>
        <v>2024</v>
      </c>
      <c r="I817" t="str">
        <f>TEXT(calls[[#This Row],[Date of Call]],"DDDD")</f>
        <v>Tuesday</v>
      </c>
      <c r="J817" t="str">
        <f t="array" ref="J817">_xlfn.IFS(calls[[#This Row],[Duration]]&lt;=10,"Under 10 mins", calls[[#This Row],[Duration]]&lt;=30, "10 to 30 mins", calls[[#This Row],[Duration]]&lt;=60, "30 to 60 mins", calls[[#This Row],[Duration]]&lt;=120, "1 to 2 hours", TRUE, "More than 2 hours")</f>
        <v>1 to 2 hours</v>
      </c>
      <c r="K817">
        <f>ROUND(calls[[#This Row],[Satisfaction Rating]],0)</f>
        <v>5</v>
      </c>
    </row>
    <row r="818" spans="1:11" ht="13.8" x14ac:dyDescent="0.25">
      <c r="A818" t="s">
        <v>847</v>
      </c>
      <c r="B818" t="s">
        <v>51</v>
      </c>
      <c r="C818">
        <v>59</v>
      </c>
      <c r="D818" s="4" t="s">
        <v>32</v>
      </c>
      <c r="E818" s="5">
        <v>45209</v>
      </c>
      <c r="F818">
        <v>152</v>
      </c>
      <c r="G818">
        <v>4.8</v>
      </c>
      <c r="H818">
        <f>IF(MONTH(calls[[#This Row],[Date of Call]])&lt;=6, YEAR(calls[[#This Row],[Date of Call]]), YEAR(calls[[#This Row],[Date of Call]])+1)</f>
        <v>2024</v>
      </c>
      <c r="I818" t="str">
        <f>TEXT(calls[[#This Row],[Date of Call]],"DDDD")</f>
        <v>Tuesday</v>
      </c>
      <c r="J818" t="str">
        <f t="array" ref="J818">_xlfn.IFS(calls[[#This Row],[Duration]]&lt;=10,"Under 10 mins", calls[[#This Row],[Duration]]&lt;=30, "10 to 30 mins", calls[[#This Row],[Duration]]&lt;=60, "30 to 60 mins", calls[[#This Row],[Duration]]&lt;=120, "1 to 2 hours", TRUE, "More than 2 hours")</f>
        <v>30 to 60 mins</v>
      </c>
      <c r="K818">
        <f>ROUND(calls[[#This Row],[Satisfaction Rating]],0)</f>
        <v>5</v>
      </c>
    </row>
    <row r="819" spans="1:11" ht="13.8" x14ac:dyDescent="0.25">
      <c r="A819" t="s">
        <v>848</v>
      </c>
      <c r="B819" t="s">
        <v>51</v>
      </c>
      <c r="C819">
        <v>90</v>
      </c>
      <c r="D819" s="4" t="s">
        <v>18</v>
      </c>
      <c r="E819" s="5">
        <v>45209</v>
      </c>
      <c r="F819">
        <v>48</v>
      </c>
      <c r="G819">
        <v>4.7</v>
      </c>
      <c r="H819">
        <f>IF(MONTH(calls[[#This Row],[Date of Call]])&lt;=6, YEAR(calls[[#This Row],[Date of Call]]), YEAR(calls[[#This Row],[Date of Call]])+1)</f>
        <v>2024</v>
      </c>
      <c r="I819" t="str">
        <f>TEXT(calls[[#This Row],[Date of Call]],"DDDD")</f>
        <v>Tuesday</v>
      </c>
      <c r="J819" t="str">
        <f t="array" ref="J819">_xlfn.IFS(calls[[#This Row],[Duration]]&lt;=10,"Under 10 mins", calls[[#This Row],[Duration]]&lt;=30, "10 to 30 mins", calls[[#This Row],[Duration]]&lt;=60, "30 to 60 mins", calls[[#This Row],[Duration]]&lt;=120, "1 to 2 hours", TRUE, "More than 2 hours")</f>
        <v>1 to 2 hours</v>
      </c>
      <c r="K819">
        <f>ROUND(calls[[#This Row],[Satisfaction Rating]],0)</f>
        <v>5</v>
      </c>
    </row>
    <row r="820" spans="1:11" ht="13.8" x14ac:dyDescent="0.25">
      <c r="A820" t="s">
        <v>849</v>
      </c>
      <c r="B820" t="s">
        <v>31</v>
      </c>
      <c r="C820">
        <v>55</v>
      </c>
      <c r="D820" s="4" t="s">
        <v>18</v>
      </c>
      <c r="E820" s="5">
        <v>45209</v>
      </c>
      <c r="F820">
        <v>25</v>
      </c>
      <c r="G820">
        <v>4.7</v>
      </c>
      <c r="H820">
        <f>IF(MONTH(calls[[#This Row],[Date of Call]])&lt;=6, YEAR(calls[[#This Row],[Date of Call]]), YEAR(calls[[#This Row],[Date of Call]])+1)</f>
        <v>2024</v>
      </c>
      <c r="I820" t="str">
        <f>TEXT(calls[[#This Row],[Date of Call]],"DDDD")</f>
        <v>Tuesday</v>
      </c>
      <c r="J820" t="str">
        <f t="array" ref="J820">_xlfn.IFS(calls[[#This Row],[Duration]]&lt;=10,"Under 10 mins", calls[[#This Row],[Duration]]&lt;=30, "10 to 30 mins", calls[[#This Row],[Duration]]&lt;=60, "30 to 60 mins", calls[[#This Row],[Duration]]&lt;=120, "1 to 2 hours", TRUE, "More than 2 hours")</f>
        <v>30 to 60 mins</v>
      </c>
      <c r="K820">
        <f>ROUND(calls[[#This Row],[Satisfaction Rating]],0)</f>
        <v>5</v>
      </c>
    </row>
    <row r="821" spans="1:11" ht="13.8" x14ac:dyDescent="0.25">
      <c r="A821" t="s">
        <v>850</v>
      </c>
      <c r="B821" t="s">
        <v>20</v>
      </c>
      <c r="C821">
        <v>84</v>
      </c>
      <c r="D821" s="4" t="s">
        <v>28</v>
      </c>
      <c r="E821" s="5">
        <v>45210</v>
      </c>
      <c r="F821">
        <v>54</v>
      </c>
      <c r="G821">
        <v>3.3</v>
      </c>
      <c r="H821">
        <f>IF(MONTH(calls[[#This Row],[Date of Call]])&lt;=6, YEAR(calls[[#This Row],[Date of Call]]), YEAR(calls[[#This Row],[Date of Call]])+1)</f>
        <v>2024</v>
      </c>
      <c r="I821" t="str">
        <f>TEXT(calls[[#This Row],[Date of Call]],"DDDD")</f>
        <v>Wednesday</v>
      </c>
      <c r="J821" t="str">
        <f t="array" ref="J821">_xlfn.IFS(calls[[#This Row],[Duration]]&lt;=10,"Under 10 mins", calls[[#This Row],[Duration]]&lt;=30, "10 to 30 mins", calls[[#This Row],[Duration]]&lt;=60, "30 to 60 mins", calls[[#This Row],[Duration]]&lt;=120, "1 to 2 hours", TRUE, "More than 2 hours")</f>
        <v>1 to 2 hours</v>
      </c>
      <c r="K821">
        <f>ROUND(calls[[#This Row],[Satisfaction Rating]],0)</f>
        <v>3</v>
      </c>
    </row>
    <row r="822" spans="1:11" ht="13.8" x14ac:dyDescent="0.25">
      <c r="A822" t="s">
        <v>851</v>
      </c>
      <c r="B822" t="s">
        <v>20</v>
      </c>
      <c r="C822">
        <v>150</v>
      </c>
      <c r="D822" s="4" t="s">
        <v>23</v>
      </c>
      <c r="E822" s="5">
        <v>45210</v>
      </c>
      <c r="F822">
        <v>108</v>
      </c>
      <c r="G822">
        <v>4.7</v>
      </c>
      <c r="H822">
        <f>IF(MONTH(calls[[#This Row],[Date of Call]])&lt;=6, YEAR(calls[[#This Row],[Date of Call]]), YEAR(calls[[#This Row],[Date of Call]])+1)</f>
        <v>2024</v>
      </c>
      <c r="I822" t="str">
        <f>TEXT(calls[[#This Row],[Date of Call]],"DDDD")</f>
        <v>Wednesday</v>
      </c>
      <c r="J822" t="str">
        <f t="array" ref="J822">_xlfn.IFS(calls[[#This Row],[Duration]]&lt;=10,"Under 10 mins", calls[[#This Row],[Duration]]&lt;=30, "10 to 30 mins", calls[[#This Row],[Duration]]&lt;=60, "30 to 60 mins", calls[[#This Row],[Duration]]&lt;=120, "1 to 2 hours", TRUE, "More than 2 hours")</f>
        <v>More than 2 hours</v>
      </c>
      <c r="K822">
        <f>ROUND(calls[[#This Row],[Satisfaction Rating]],0)</f>
        <v>5</v>
      </c>
    </row>
    <row r="823" spans="1:11" ht="13.8" x14ac:dyDescent="0.25">
      <c r="A823" t="s">
        <v>852</v>
      </c>
      <c r="B823" t="s">
        <v>84</v>
      </c>
      <c r="C823">
        <v>69</v>
      </c>
      <c r="D823" s="4" t="s">
        <v>32</v>
      </c>
      <c r="E823" s="5">
        <v>45210</v>
      </c>
      <c r="F823">
        <v>36</v>
      </c>
      <c r="G823">
        <v>4.5</v>
      </c>
      <c r="H823">
        <f>IF(MONTH(calls[[#This Row],[Date of Call]])&lt;=6, YEAR(calls[[#This Row],[Date of Call]]), YEAR(calls[[#This Row],[Date of Call]])+1)</f>
        <v>2024</v>
      </c>
      <c r="I823" t="str">
        <f>TEXT(calls[[#This Row],[Date of Call]],"DDDD")</f>
        <v>Wednesday</v>
      </c>
      <c r="J823" t="str">
        <f t="array" ref="J823">_xlfn.IFS(calls[[#This Row],[Duration]]&lt;=10,"Under 10 mins", calls[[#This Row],[Duration]]&lt;=30, "10 to 30 mins", calls[[#This Row],[Duration]]&lt;=60, "30 to 60 mins", calls[[#This Row],[Duration]]&lt;=120, "1 to 2 hours", TRUE, "More than 2 hours")</f>
        <v>1 to 2 hours</v>
      </c>
      <c r="K823">
        <f>ROUND(calls[[#This Row],[Satisfaction Rating]],0)</f>
        <v>5</v>
      </c>
    </row>
    <row r="824" spans="1:11" ht="13.8" x14ac:dyDescent="0.25">
      <c r="A824" t="s">
        <v>853</v>
      </c>
      <c r="B824" t="s">
        <v>12</v>
      </c>
      <c r="C824">
        <v>120</v>
      </c>
      <c r="D824" s="4" t="s">
        <v>18</v>
      </c>
      <c r="E824" s="5">
        <v>45211</v>
      </c>
      <c r="F824">
        <v>140</v>
      </c>
      <c r="G824">
        <v>4.5999999999999996</v>
      </c>
      <c r="H824">
        <f>IF(MONTH(calls[[#This Row],[Date of Call]])&lt;=6, YEAR(calls[[#This Row],[Date of Call]]), YEAR(calls[[#This Row],[Date of Call]])+1)</f>
        <v>2024</v>
      </c>
      <c r="I824" t="str">
        <f>TEXT(calls[[#This Row],[Date of Call]],"DDDD")</f>
        <v>Thursday</v>
      </c>
      <c r="J824" t="str">
        <f t="array" ref="J824">_xlfn.IFS(calls[[#This Row],[Duration]]&lt;=10,"Under 10 mins", calls[[#This Row],[Duration]]&lt;=30, "10 to 30 mins", calls[[#This Row],[Duration]]&lt;=60, "30 to 60 mins", calls[[#This Row],[Duration]]&lt;=120, "1 to 2 hours", TRUE, "More than 2 hours")</f>
        <v>1 to 2 hours</v>
      </c>
      <c r="K824">
        <f>ROUND(calls[[#This Row],[Satisfaction Rating]],0)</f>
        <v>5</v>
      </c>
    </row>
    <row r="825" spans="1:11" ht="13.8" x14ac:dyDescent="0.25">
      <c r="A825" t="s">
        <v>854</v>
      </c>
      <c r="B825" t="s">
        <v>17</v>
      </c>
      <c r="C825">
        <v>126</v>
      </c>
      <c r="D825" s="4" t="s">
        <v>28</v>
      </c>
      <c r="E825" s="5">
        <v>45211</v>
      </c>
      <c r="F825">
        <v>50</v>
      </c>
      <c r="G825">
        <v>4.8</v>
      </c>
      <c r="H825">
        <f>IF(MONTH(calls[[#This Row],[Date of Call]])&lt;=6, YEAR(calls[[#This Row],[Date of Call]]), YEAR(calls[[#This Row],[Date of Call]])+1)</f>
        <v>2024</v>
      </c>
      <c r="I825" t="str">
        <f>TEXT(calls[[#This Row],[Date of Call]],"DDDD")</f>
        <v>Thursday</v>
      </c>
      <c r="J825" t="str">
        <f t="array" ref="J825">_xlfn.IFS(calls[[#This Row],[Duration]]&lt;=10,"Under 10 mins", calls[[#This Row],[Duration]]&lt;=30, "10 to 30 mins", calls[[#This Row],[Duration]]&lt;=60, "30 to 60 mins", calls[[#This Row],[Duration]]&lt;=120, "1 to 2 hours", TRUE, "More than 2 hours")</f>
        <v>More than 2 hours</v>
      </c>
      <c r="K825">
        <f>ROUND(calls[[#This Row],[Satisfaction Rating]],0)</f>
        <v>5</v>
      </c>
    </row>
    <row r="826" spans="1:11" ht="13.8" x14ac:dyDescent="0.25">
      <c r="A826" t="s">
        <v>855</v>
      </c>
      <c r="B826" t="s">
        <v>84</v>
      </c>
      <c r="C826">
        <v>120</v>
      </c>
      <c r="D826" s="4" t="s">
        <v>13</v>
      </c>
      <c r="E826" s="5">
        <v>45211</v>
      </c>
      <c r="F826">
        <v>195</v>
      </c>
      <c r="G826">
        <v>4.3</v>
      </c>
      <c r="H826">
        <f>IF(MONTH(calls[[#This Row],[Date of Call]])&lt;=6, YEAR(calls[[#This Row],[Date of Call]]), YEAR(calls[[#This Row],[Date of Call]])+1)</f>
        <v>2024</v>
      </c>
      <c r="I826" t="str">
        <f>TEXT(calls[[#This Row],[Date of Call]],"DDDD")</f>
        <v>Thursday</v>
      </c>
      <c r="J826" t="str">
        <f t="array" ref="J826">_xlfn.IFS(calls[[#This Row],[Duration]]&lt;=10,"Under 10 mins", calls[[#This Row],[Duration]]&lt;=30, "10 to 30 mins", calls[[#This Row],[Duration]]&lt;=60, "30 to 60 mins", calls[[#This Row],[Duration]]&lt;=120, "1 to 2 hours", TRUE, "More than 2 hours")</f>
        <v>1 to 2 hours</v>
      </c>
      <c r="K826">
        <f>ROUND(calls[[#This Row],[Satisfaction Rating]],0)</f>
        <v>4</v>
      </c>
    </row>
    <row r="827" spans="1:11" ht="13.8" x14ac:dyDescent="0.25">
      <c r="A827" t="s">
        <v>856</v>
      </c>
      <c r="B827" t="s">
        <v>17</v>
      </c>
      <c r="C827">
        <v>139</v>
      </c>
      <c r="D827" s="4" t="s">
        <v>18</v>
      </c>
      <c r="E827" s="5">
        <v>45212</v>
      </c>
      <c r="F827">
        <v>48</v>
      </c>
      <c r="G827">
        <v>4.7</v>
      </c>
      <c r="H827">
        <f>IF(MONTH(calls[[#This Row],[Date of Call]])&lt;=6, YEAR(calls[[#This Row],[Date of Call]]), YEAR(calls[[#This Row],[Date of Call]])+1)</f>
        <v>2024</v>
      </c>
      <c r="I827" t="str">
        <f>TEXT(calls[[#This Row],[Date of Call]],"DDDD")</f>
        <v>Friday</v>
      </c>
      <c r="J827" t="str">
        <f t="array" ref="J827">_xlfn.IFS(calls[[#This Row],[Duration]]&lt;=10,"Under 10 mins", calls[[#This Row],[Duration]]&lt;=30, "10 to 30 mins", calls[[#This Row],[Duration]]&lt;=60, "30 to 60 mins", calls[[#This Row],[Duration]]&lt;=120, "1 to 2 hours", TRUE, "More than 2 hours")</f>
        <v>More than 2 hours</v>
      </c>
      <c r="K827">
        <f>ROUND(calls[[#This Row],[Satisfaction Rating]],0)</f>
        <v>5</v>
      </c>
    </row>
    <row r="828" spans="1:11" ht="13.8" x14ac:dyDescent="0.25">
      <c r="A828" t="s">
        <v>857</v>
      </c>
      <c r="B828" t="s">
        <v>31</v>
      </c>
      <c r="C828">
        <v>124</v>
      </c>
      <c r="D828" s="4" t="s">
        <v>32</v>
      </c>
      <c r="E828" s="5">
        <v>45213</v>
      </c>
      <c r="F828">
        <v>29</v>
      </c>
      <c r="G828">
        <v>4.8</v>
      </c>
      <c r="H828">
        <f>IF(MONTH(calls[[#This Row],[Date of Call]])&lt;=6, YEAR(calls[[#This Row],[Date of Call]]), YEAR(calls[[#This Row],[Date of Call]])+1)</f>
        <v>2024</v>
      </c>
      <c r="I828" t="str">
        <f>TEXT(calls[[#This Row],[Date of Call]],"DDDD")</f>
        <v>Saturday</v>
      </c>
      <c r="J828" t="str">
        <f t="array" ref="J828">_xlfn.IFS(calls[[#This Row],[Duration]]&lt;=10,"Under 10 mins", calls[[#This Row],[Duration]]&lt;=30, "10 to 30 mins", calls[[#This Row],[Duration]]&lt;=60, "30 to 60 mins", calls[[#This Row],[Duration]]&lt;=120, "1 to 2 hours", TRUE, "More than 2 hours")</f>
        <v>More than 2 hours</v>
      </c>
      <c r="K828">
        <f>ROUND(calls[[#This Row],[Satisfaction Rating]],0)</f>
        <v>5</v>
      </c>
    </row>
    <row r="829" spans="1:11" ht="13.8" x14ac:dyDescent="0.25">
      <c r="A829" t="s">
        <v>858</v>
      </c>
      <c r="B829" t="s">
        <v>12</v>
      </c>
      <c r="C829">
        <v>108</v>
      </c>
      <c r="D829" s="4" t="s">
        <v>13</v>
      </c>
      <c r="E829" s="5">
        <v>45213</v>
      </c>
      <c r="F829">
        <v>44</v>
      </c>
      <c r="G829">
        <v>4.7</v>
      </c>
      <c r="H829">
        <f>IF(MONTH(calls[[#This Row],[Date of Call]])&lt;=6, YEAR(calls[[#This Row],[Date of Call]]), YEAR(calls[[#This Row],[Date of Call]])+1)</f>
        <v>2024</v>
      </c>
      <c r="I829" t="str">
        <f>TEXT(calls[[#This Row],[Date of Call]],"DDDD")</f>
        <v>Saturday</v>
      </c>
      <c r="J829" t="str">
        <f t="array" ref="J829">_xlfn.IFS(calls[[#This Row],[Duration]]&lt;=10,"Under 10 mins", calls[[#This Row],[Duration]]&lt;=30, "10 to 30 mins", calls[[#This Row],[Duration]]&lt;=60, "30 to 60 mins", calls[[#This Row],[Duration]]&lt;=120, "1 to 2 hours", TRUE, "More than 2 hours")</f>
        <v>1 to 2 hours</v>
      </c>
      <c r="K829">
        <f>ROUND(calls[[#This Row],[Satisfaction Rating]],0)</f>
        <v>5</v>
      </c>
    </row>
    <row r="830" spans="1:11" ht="13.8" x14ac:dyDescent="0.25">
      <c r="A830" t="s">
        <v>859</v>
      </c>
      <c r="B830" t="s">
        <v>15</v>
      </c>
      <c r="C830">
        <v>132</v>
      </c>
      <c r="D830" s="4" t="s">
        <v>23</v>
      </c>
      <c r="E830" s="5">
        <v>45213</v>
      </c>
      <c r="F830">
        <v>140</v>
      </c>
      <c r="G830">
        <v>4.3</v>
      </c>
      <c r="H830">
        <f>IF(MONTH(calls[[#This Row],[Date of Call]])&lt;=6, YEAR(calls[[#This Row],[Date of Call]]), YEAR(calls[[#This Row],[Date of Call]])+1)</f>
        <v>2024</v>
      </c>
      <c r="I830" t="str">
        <f>TEXT(calls[[#This Row],[Date of Call]],"DDDD")</f>
        <v>Saturday</v>
      </c>
      <c r="J830" t="str">
        <f t="array" ref="J830">_xlfn.IFS(calls[[#This Row],[Duration]]&lt;=10,"Under 10 mins", calls[[#This Row],[Duration]]&lt;=30, "10 to 30 mins", calls[[#This Row],[Duration]]&lt;=60, "30 to 60 mins", calls[[#This Row],[Duration]]&lt;=120, "1 to 2 hours", TRUE, "More than 2 hours")</f>
        <v>More than 2 hours</v>
      </c>
      <c r="K830">
        <f>ROUND(calls[[#This Row],[Satisfaction Rating]],0)</f>
        <v>4</v>
      </c>
    </row>
    <row r="831" spans="1:11" ht="13.8" x14ac:dyDescent="0.25">
      <c r="A831" t="s">
        <v>860</v>
      </c>
      <c r="B831" t="s">
        <v>64</v>
      </c>
      <c r="C831">
        <v>67</v>
      </c>
      <c r="D831" s="4" t="s">
        <v>23</v>
      </c>
      <c r="E831" s="5">
        <v>45213</v>
      </c>
      <c r="F831">
        <v>105</v>
      </c>
      <c r="G831">
        <v>3.8</v>
      </c>
      <c r="H831">
        <f>IF(MONTH(calls[[#This Row],[Date of Call]])&lt;=6, YEAR(calls[[#This Row],[Date of Call]]), YEAR(calls[[#This Row],[Date of Call]])+1)</f>
        <v>2024</v>
      </c>
      <c r="I831" t="str">
        <f>TEXT(calls[[#This Row],[Date of Call]],"DDDD")</f>
        <v>Saturday</v>
      </c>
      <c r="J831" t="str">
        <f t="array" ref="J831">_xlfn.IFS(calls[[#This Row],[Duration]]&lt;=10,"Under 10 mins", calls[[#This Row],[Duration]]&lt;=30, "10 to 30 mins", calls[[#This Row],[Duration]]&lt;=60, "30 to 60 mins", calls[[#This Row],[Duration]]&lt;=120, "1 to 2 hours", TRUE, "More than 2 hours")</f>
        <v>1 to 2 hours</v>
      </c>
      <c r="K831">
        <f>ROUND(calls[[#This Row],[Satisfaction Rating]],0)</f>
        <v>4</v>
      </c>
    </row>
    <row r="832" spans="1:11" ht="13.8" x14ac:dyDescent="0.25">
      <c r="A832" t="s">
        <v>861</v>
      </c>
      <c r="B832" t="s">
        <v>26</v>
      </c>
      <c r="C832">
        <v>125</v>
      </c>
      <c r="D832" s="4" t="s">
        <v>23</v>
      </c>
      <c r="E832" s="5">
        <v>45213</v>
      </c>
      <c r="F832">
        <v>82</v>
      </c>
      <c r="G832">
        <v>4.5999999999999996</v>
      </c>
      <c r="H832">
        <f>IF(MONTH(calls[[#This Row],[Date of Call]])&lt;=6, YEAR(calls[[#This Row],[Date of Call]]), YEAR(calls[[#This Row],[Date of Call]])+1)</f>
        <v>2024</v>
      </c>
      <c r="I832" t="str">
        <f>TEXT(calls[[#This Row],[Date of Call]],"DDDD")</f>
        <v>Saturday</v>
      </c>
      <c r="J832" t="str">
        <f t="array" ref="J832">_xlfn.IFS(calls[[#This Row],[Duration]]&lt;=10,"Under 10 mins", calls[[#This Row],[Duration]]&lt;=30, "10 to 30 mins", calls[[#This Row],[Duration]]&lt;=60, "30 to 60 mins", calls[[#This Row],[Duration]]&lt;=120, "1 to 2 hours", TRUE, "More than 2 hours")</f>
        <v>More than 2 hours</v>
      </c>
      <c r="K832">
        <f>ROUND(calls[[#This Row],[Satisfaction Rating]],0)</f>
        <v>5</v>
      </c>
    </row>
    <row r="833" spans="1:11" ht="13.8" x14ac:dyDescent="0.25">
      <c r="A833" t="s">
        <v>862</v>
      </c>
      <c r="B833" t="s">
        <v>12</v>
      </c>
      <c r="C833">
        <v>23</v>
      </c>
      <c r="D833" s="4" t="s">
        <v>13</v>
      </c>
      <c r="E833" s="5">
        <v>45213</v>
      </c>
      <c r="F833">
        <v>24</v>
      </c>
      <c r="G833">
        <v>2.9</v>
      </c>
      <c r="H833">
        <f>IF(MONTH(calls[[#This Row],[Date of Call]])&lt;=6, YEAR(calls[[#This Row],[Date of Call]]), YEAR(calls[[#This Row],[Date of Call]])+1)</f>
        <v>2024</v>
      </c>
      <c r="I833" t="str">
        <f>TEXT(calls[[#This Row],[Date of Call]],"DDDD")</f>
        <v>Saturday</v>
      </c>
      <c r="J833" t="str">
        <f t="array" ref="J833">_xlfn.IFS(calls[[#This Row],[Duration]]&lt;=10,"Under 10 mins", calls[[#This Row],[Duration]]&lt;=30, "10 to 30 mins", calls[[#This Row],[Duration]]&lt;=60, "30 to 60 mins", calls[[#This Row],[Duration]]&lt;=120, "1 to 2 hours", TRUE, "More than 2 hours")</f>
        <v>10 to 30 mins</v>
      </c>
      <c r="K833">
        <f>ROUND(calls[[#This Row],[Satisfaction Rating]],0)</f>
        <v>3</v>
      </c>
    </row>
    <row r="834" spans="1:11" ht="13.8" x14ac:dyDescent="0.25">
      <c r="A834" t="s">
        <v>863</v>
      </c>
      <c r="B834" t="s">
        <v>22</v>
      </c>
      <c r="C834">
        <v>131</v>
      </c>
      <c r="D834" s="4" t="s">
        <v>32</v>
      </c>
      <c r="E834" s="5">
        <v>45214</v>
      </c>
      <c r="F834">
        <v>205</v>
      </c>
      <c r="G834">
        <v>4.8</v>
      </c>
      <c r="H834">
        <f>IF(MONTH(calls[[#This Row],[Date of Call]])&lt;=6, YEAR(calls[[#This Row],[Date of Call]]), YEAR(calls[[#This Row],[Date of Call]])+1)</f>
        <v>2024</v>
      </c>
      <c r="I834" t="str">
        <f>TEXT(calls[[#This Row],[Date of Call]],"DDDD")</f>
        <v>Sunday</v>
      </c>
      <c r="J834" t="str">
        <f t="array" ref="J834">_xlfn.IFS(calls[[#This Row],[Duration]]&lt;=10,"Under 10 mins", calls[[#This Row],[Duration]]&lt;=30, "10 to 30 mins", calls[[#This Row],[Duration]]&lt;=60, "30 to 60 mins", calls[[#This Row],[Duration]]&lt;=120, "1 to 2 hours", TRUE, "More than 2 hours")</f>
        <v>More than 2 hours</v>
      </c>
      <c r="K834">
        <f>ROUND(calls[[#This Row],[Satisfaction Rating]],0)</f>
        <v>5</v>
      </c>
    </row>
    <row r="835" spans="1:11" ht="13.8" x14ac:dyDescent="0.25">
      <c r="A835" t="s">
        <v>864</v>
      </c>
      <c r="B835" t="s">
        <v>15</v>
      </c>
      <c r="C835">
        <v>56</v>
      </c>
      <c r="D835" s="4" t="s">
        <v>18</v>
      </c>
      <c r="E835" s="5">
        <v>45214</v>
      </c>
      <c r="F835">
        <v>225</v>
      </c>
      <c r="G835">
        <v>4.9000000000000004</v>
      </c>
      <c r="H835">
        <f>IF(MONTH(calls[[#This Row],[Date of Call]])&lt;=6, YEAR(calls[[#This Row],[Date of Call]]), YEAR(calls[[#This Row],[Date of Call]])+1)</f>
        <v>2024</v>
      </c>
      <c r="I835" t="str">
        <f>TEXT(calls[[#This Row],[Date of Call]],"DDDD")</f>
        <v>Sunday</v>
      </c>
      <c r="J835" t="str">
        <f t="array" ref="J835">_xlfn.IFS(calls[[#This Row],[Duration]]&lt;=10,"Under 10 mins", calls[[#This Row],[Duration]]&lt;=30, "10 to 30 mins", calls[[#This Row],[Duration]]&lt;=60, "30 to 60 mins", calls[[#This Row],[Duration]]&lt;=120, "1 to 2 hours", TRUE, "More than 2 hours")</f>
        <v>30 to 60 mins</v>
      </c>
      <c r="K835">
        <f>ROUND(calls[[#This Row],[Satisfaction Rating]],0)</f>
        <v>5</v>
      </c>
    </row>
    <row r="836" spans="1:11" ht="13.8" x14ac:dyDescent="0.25">
      <c r="A836" t="s">
        <v>865</v>
      </c>
      <c r="B836" t="s">
        <v>22</v>
      </c>
      <c r="C836">
        <v>70</v>
      </c>
      <c r="D836" s="4" t="s">
        <v>32</v>
      </c>
      <c r="E836" s="5">
        <v>45214</v>
      </c>
      <c r="F836">
        <v>50</v>
      </c>
      <c r="G836">
        <v>3.4</v>
      </c>
      <c r="H836">
        <f>IF(MONTH(calls[[#This Row],[Date of Call]])&lt;=6, YEAR(calls[[#This Row],[Date of Call]]), YEAR(calls[[#This Row],[Date of Call]])+1)</f>
        <v>2024</v>
      </c>
      <c r="I836" t="str">
        <f>TEXT(calls[[#This Row],[Date of Call]],"DDDD")</f>
        <v>Sunday</v>
      </c>
      <c r="J836" t="str">
        <f t="array" ref="J836">_xlfn.IFS(calls[[#This Row],[Duration]]&lt;=10,"Under 10 mins", calls[[#This Row],[Duration]]&lt;=30, "10 to 30 mins", calls[[#This Row],[Duration]]&lt;=60, "30 to 60 mins", calls[[#This Row],[Duration]]&lt;=120, "1 to 2 hours", TRUE, "More than 2 hours")</f>
        <v>1 to 2 hours</v>
      </c>
      <c r="K836">
        <f>ROUND(calls[[#This Row],[Satisfaction Rating]],0)</f>
        <v>3</v>
      </c>
    </row>
    <row r="837" spans="1:11" ht="13.8" x14ac:dyDescent="0.25">
      <c r="A837" t="s">
        <v>866</v>
      </c>
      <c r="B837" t="s">
        <v>22</v>
      </c>
      <c r="C837">
        <v>55</v>
      </c>
      <c r="D837" s="4" t="s">
        <v>23</v>
      </c>
      <c r="E837" s="5">
        <v>45214</v>
      </c>
      <c r="F837">
        <v>80</v>
      </c>
      <c r="G837">
        <v>4.3</v>
      </c>
      <c r="H837">
        <f>IF(MONTH(calls[[#This Row],[Date of Call]])&lt;=6, YEAR(calls[[#This Row],[Date of Call]]), YEAR(calls[[#This Row],[Date of Call]])+1)</f>
        <v>2024</v>
      </c>
      <c r="I837" t="str">
        <f>TEXT(calls[[#This Row],[Date of Call]],"DDDD")</f>
        <v>Sunday</v>
      </c>
      <c r="J837" t="str">
        <f t="array" ref="J837">_xlfn.IFS(calls[[#This Row],[Duration]]&lt;=10,"Under 10 mins", calls[[#This Row],[Duration]]&lt;=30, "10 to 30 mins", calls[[#This Row],[Duration]]&lt;=60, "30 to 60 mins", calls[[#This Row],[Duration]]&lt;=120, "1 to 2 hours", TRUE, "More than 2 hours")</f>
        <v>30 to 60 mins</v>
      </c>
      <c r="K837">
        <f>ROUND(calls[[#This Row],[Satisfaction Rating]],0)</f>
        <v>4</v>
      </c>
    </row>
    <row r="838" spans="1:11" ht="13.8" x14ac:dyDescent="0.25">
      <c r="A838" t="s">
        <v>867</v>
      </c>
      <c r="B838" t="s">
        <v>26</v>
      </c>
      <c r="C838">
        <v>77</v>
      </c>
      <c r="D838" s="4" t="s">
        <v>18</v>
      </c>
      <c r="E838" s="5">
        <v>45214</v>
      </c>
      <c r="F838">
        <v>78</v>
      </c>
      <c r="G838">
        <v>3.9</v>
      </c>
      <c r="H838">
        <f>IF(MONTH(calls[[#This Row],[Date of Call]])&lt;=6, YEAR(calls[[#This Row],[Date of Call]]), YEAR(calls[[#This Row],[Date of Call]])+1)</f>
        <v>2024</v>
      </c>
      <c r="I838" t="str">
        <f>TEXT(calls[[#This Row],[Date of Call]],"DDDD")</f>
        <v>Sunday</v>
      </c>
      <c r="J838" t="str">
        <f t="array" ref="J838">_xlfn.IFS(calls[[#This Row],[Duration]]&lt;=10,"Under 10 mins", calls[[#This Row],[Duration]]&lt;=30, "10 to 30 mins", calls[[#This Row],[Duration]]&lt;=60, "30 to 60 mins", calls[[#This Row],[Duration]]&lt;=120, "1 to 2 hours", TRUE, "More than 2 hours")</f>
        <v>1 to 2 hours</v>
      </c>
      <c r="K838">
        <f>ROUND(calls[[#This Row],[Satisfaction Rating]],0)</f>
        <v>4</v>
      </c>
    </row>
    <row r="839" spans="1:11" ht="13.8" x14ac:dyDescent="0.25">
      <c r="A839" t="s">
        <v>868</v>
      </c>
      <c r="B839" t="s">
        <v>20</v>
      </c>
      <c r="C839">
        <v>133</v>
      </c>
      <c r="D839" s="4" t="s">
        <v>32</v>
      </c>
      <c r="E839" s="5">
        <v>45215</v>
      </c>
      <c r="F839">
        <v>40</v>
      </c>
      <c r="G839">
        <v>3.9</v>
      </c>
      <c r="H839">
        <f>IF(MONTH(calls[[#This Row],[Date of Call]])&lt;=6, YEAR(calls[[#This Row],[Date of Call]]), YEAR(calls[[#This Row],[Date of Call]])+1)</f>
        <v>2024</v>
      </c>
      <c r="I839" t="str">
        <f>TEXT(calls[[#This Row],[Date of Call]],"DDDD")</f>
        <v>Monday</v>
      </c>
      <c r="J839" t="str">
        <f t="array" ref="J839">_xlfn.IFS(calls[[#This Row],[Duration]]&lt;=10,"Under 10 mins", calls[[#This Row],[Duration]]&lt;=30, "10 to 30 mins", calls[[#This Row],[Duration]]&lt;=60, "30 to 60 mins", calls[[#This Row],[Duration]]&lt;=120, "1 to 2 hours", TRUE, "More than 2 hours")</f>
        <v>More than 2 hours</v>
      </c>
      <c r="K839">
        <f>ROUND(calls[[#This Row],[Satisfaction Rating]],0)</f>
        <v>4</v>
      </c>
    </row>
    <row r="840" spans="1:11" ht="13.8" x14ac:dyDescent="0.25">
      <c r="A840" t="s">
        <v>869</v>
      </c>
      <c r="B840" t="s">
        <v>26</v>
      </c>
      <c r="C840">
        <v>77</v>
      </c>
      <c r="D840" s="4" t="s">
        <v>18</v>
      </c>
      <c r="E840" s="5">
        <v>45215</v>
      </c>
      <c r="F840">
        <v>176</v>
      </c>
      <c r="G840">
        <v>1.5</v>
      </c>
      <c r="H840">
        <f>IF(MONTH(calls[[#This Row],[Date of Call]])&lt;=6, YEAR(calls[[#This Row],[Date of Call]]), YEAR(calls[[#This Row],[Date of Call]])+1)</f>
        <v>2024</v>
      </c>
      <c r="I840" t="str">
        <f>TEXT(calls[[#This Row],[Date of Call]],"DDDD")</f>
        <v>Monday</v>
      </c>
      <c r="J840" t="str">
        <f t="array" ref="J840">_xlfn.IFS(calls[[#This Row],[Duration]]&lt;=10,"Under 10 mins", calls[[#This Row],[Duration]]&lt;=30, "10 to 30 mins", calls[[#This Row],[Duration]]&lt;=60, "30 to 60 mins", calls[[#This Row],[Duration]]&lt;=120, "1 to 2 hours", TRUE, "More than 2 hours")</f>
        <v>1 to 2 hours</v>
      </c>
      <c r="K840">
        <f>ROUND(calls[[#This Row],[Satisfaction Rating]],0)</f>
        <v>2</v>
      </c>
    </row>
    <row r="841" spans="1:11" ht="13.8" x14ac:dyDescent="0.25">
      <c r="A841" t="s">
        <v>870</v>
      </c>
      <c r="B841" t="s">
        <v>51</v>
      </c>
      <c r="C841">
        <v>103</v>
      </c>
      <c r="D841" s="4" t="s">
        <v>32</v>
      </c>
      <c r="E841" s="5">
        <v>45215</v>
      </c>
      <c r="F841">
        <v>78</v>
      </c>
      <c r="G841">
        <v>3</v>
      </c>
      <c r="H841">
        <f>IF(MONTH(calls[[#This Row],[Date of Call]])&lt;=6, YEAR(calls[[#This Row],[Date of Call]]), YEAR(calls[[#This Row],[Date of Call]])+1)</f>
        <v>2024</v>
      </c>
      <c r="I841" t="str">
        <f>TEXT(calls[[#This Row],[Date of Call]],"DDDD")</f>
        <v>Monday</v>
      </c>
      <c r="J841" t="str">
        <f t="array" ref="J841">_xlfn.IFS(calls[[#This Row],[Duration]]&lt;=10,"Under 10 mins", calls[[#This Row],[Duration]]&lt;=30, "10 to 30 mins", calls[[#This Row],[Duration]]&lt;=60, "30 to 60 mins", calls[[#This Row],[Duration]]&lt;=120, "1 to 2 hours", TRUE, "More than 2 hours")</f>
        <v>1 to 2 hours</v>
      </c>
      <c r="K841">
        <f>ROUND(calls[[#This Row],[Satisfaction Rating]],0)</f>
        <v>3</v>
      </c>
    </row>
    <row r="842" spans="1:11" ht="13.8" x14ac:dyDescent="0.25">
      <c r="A842" t="s">
        <v>871</v>
      </c>
      <c r="B842" t="s">
        <v>84</v>
      </c>
      <c r="C842">
        <v>32</v>
      </c>
      <c r="D842" s="4" t="s">
        <v>18</v>
      </c>
      <c r="E842" s="5">
        <v>45215</v>
      </c>
      <c r="F842">
        <v>42</v>
      </c>
      <c r="G842">
        <v>4.2</v>
      </c>
      <c r="H842">
        <f>IF(MONTH(calls[[#This Row],[Date of Call]])&lt;=6, YEAR(calls[[#This Row],[Date of Call]]), YEAR(calls[[#This Row],[Date of Call]])+1)</f>
        <v>2024</v>
      </c>
      <c r="I842" t="str">
        <f>TEXT(calls[[#This Row],[Date of Call]],"DDDD")</f>
        <v>Monday</v>
      </c>
      <c r="J842" t="str">
        <f t="array" ref="J842">_xlfn.IFS(calls[[#This Row],[Duration]]&lt;=10,"Under 10 mins", calls[[#This Row],[Duration]]&lt;=30, "10 to 30 mins", calls[[#This Row],[Duration]]&lt;=60, "30 to 60 mins", calls[[#This Row],[Duration]]&lt;=120, "1 to 2 hours", TRUE, "More than 2 hours")</f>
        <v>30 to 60 mins</v>
      </c>
      <c r="K842">
        <f>ROUND(calls[[#This Row],[Satisfaction Rating]],0)</f>
        <v>4</v>
      </c>
    </row>
    <row r="843" spans="1:11" ht="13.8" x14ac:dyDescent="0.25">
      <c r="A843" t="s">
        <v>872</v>
      </c>
      <c r="B843" t="s">
        <v>20</v>
      </c>
      <c r="C843">
        <v>30</v>
      </c>
      <c r="D843" s="4" t="s">
        <v>32</v>
      </c>
      <c r="E843" s="5">
        <v>45215</v>
      </c>
      <c r="F843">
        <v>38</v>
      </c>
      <c r="G843">
        <v>3.7</v>
      </c>
      <c r="H843">
        <f>IF(MONTH(calls[[#This Row],[Date of Call]])&lt;=6, YEAR(calls[[#This Row],[Date of Call]]), YEAR(calls[[#This Row],[Date of Call]])+1)</f>
        <v>2024</v>
      </c>
      <c r="I843" t="str">
        <f>TEXT(calls[[#This Row],[Date of Call]],"DDDD")</f>
        <v>Monday</v>
      </c>
      <c r="J843" t="str">
        <f t="array" ref="J843">_xlfn.IFS(calls[[#This Row],[Duration]]&lt;=10,"Under 10 mins", calls[[#This Row],[Duration]]&lt;=30, "10 to 30 mins", calls[[#This Row],[Duration]]&lt;=60, "30 to 60 mins", calls[[#This Row],[Duration]]&lt;=120, "1 to 2 hours", TRUE, "More than 2 hours")</f>
        <v>10 to 30 mins</v>
      </c>
      <c r="K843">
        <f>ROUND(calls[[#This Row],[Satisfaction Rating]],0)</f>
        <v>4</v>
      </c>
    </row>
    <row r="844" spans="1:11" ht="13.8" x14ac:dyDescent="0.25">
      <c r="A844" t="s">
        <v>873</v>
      </c>
      <c r="B844" t="s">
        <v>17</v>
      </c>
      <c r="C844">
        <v>87</v>
      </c>
      <c r="D844" s="4" t="s">
        <v>28</v>
      </c>
      <c r="E844" s="5">
        <v>45215</v>
      </c>
      <c r="F844">
        <v>27</v>
      </c>
      <c r="G844">
        <v>4.2</v>
      </c>
      <c r="H844">
        <f>IF(MONTH(calls[[#This Row],[Date of Call]])&lt;=6, YEAR(calls[[#This Row],[Date of Call]]), YEAR(calls[[#This Row],[Date of Call]])+1)</f>
        <v>2024</v>
      </c>
      <c r="I844" t="str">
        <f>TEXT(calls[[#This Row],[Date of Call]],"DDDD")</f>
        <v>Monday</v>
      </c>
      <c r="J844" t="str">
        <f t="array" ref="J844">_xlfn.IFS(calls[[#This Row],[Duration]]&lt;=10,"Under 10 mins", calls[[#This Row],[Duration]]&lt;=30, "10 to 30 mins", calls[[#This Row],[Duration]]&lt;=60, "30 to 60 mins", calls[[#This Row],[Duration]]&lt;=120, "1 to 2 hours", TRUE, "More than 2 hours")</f>
        <v>1 to 2 hours</v>
      </c>
      <c r="K844">
        <f>ROUND(calls[[#This Row],[Satisfaction Rating]],0)</f>
        <v>4</v>
      </c>
    </row>
    <row r="845" spans="1:11" ht="13.8" x14ac:dyDescent="0.25">
      <c r="A845" t="s">
        <v>874</v>
      </c>
      <c r="B845" t="s">
        <v>26</v>
      </c>
      <c r="C845">
        <v>137</v>
      </c>
      <c r="D845" s="4" t="s">
        <v>13</v>
      </c>
      <c r="E845" s="5">
        <v>45216</v>
      </c>
      <c r="F845">
        <v>45</v>
      </c>
      <c r="G845">
        <v>4.4000000000000004</v>
      </c>
      <c r="H845">
        <f>IF(MONTH(calls[[#This Row],[Date of Call]])&lt;=6, YEAR(calls[[#This Row],[Date of Call]]), YEAR(calls[[#This Row],[Date of Call]])+1)</f>
        <v>2024</v>
      </c>
      <c r="I845" t="str">
        <f>TEXT(calls[[#This Row],[Date of Call]],"DDDD")</f>
        <v>Tuesday</v>
      </c>
      <c r="J845" t="str">
        <f t="array" ref="J845">_xlfn.IFS(calls[[#This Row],[Duration]]&lt;=10,"Under 10 mins", calls[[#This Row],[Duration]]&lt;=30, "10 to 30 mins", calls[[#This Row],[Duration]]&lt;=60, "30 to 60 mins", calls[[#This Row],[Duration]]&lt;=120, "1 to 2 hours", TRUE, "More than 2 hours")</f>
        <v>More than 2 hours</v>
      </c>
      <c r="K845">
        <f>ROUND(calls[[#This Row],[Satisfaction Rating]],0)</f>
        <v>4</v>
      </c>
    </row>
    <row r="846" spans="1:11" ht="13.8" x14ac:dyDescent="0.25">
      <c r="A846" t="s">
        <v>875</v>
      </c>
      <c r="B846" t="s">
        <v>35</v>
      </c>
      <c r="C846">
        <v>96</v>
      </c>
      <c r="D846" s="4" t="s">
        <v>32</v>
      </c>
      <c r="E846" s="5">
        <v>45216</v>
      </c>
      <c r="F846">
        <v>215</v>
      </c>
      <c r="G846">
        <v>4</v>
      </c>
      <c r="H846">
        <f>IF(MONTH(calls[[#This Row],[Date of Call]])&lt;=6, YEAR(calls[[#This Row],[Date of Call]]), YEAR(calls[[#This Row],[Date of Call]])+1)</f>
        <v>2024</v>
      </c>
      <c r="I846" t="str">
        <f>TEXT(calls[[#This Row],[Date of Call]],"DDDD")</f>
        <v>Tuesday</v>
      </c>
      <c r="J846" t="str">
        <f t="array" ref="J846">_xlfn.IFS(calls[[#This Row],[Duration]]&lt;=10,"Under 10 mins", calls[[#This Row],[Duration]]&lt;=30, "10 to 30 mins", calls[[#This Row],[Duration]]&lt;=60, "30 to 60 mins", calls[[#This Row],[Duration]]&lt;=120, "1 to 2 hours", TRUE, "More than 2 hours")</f>
        <v>1 to 2 hours</v>
      </c>
      <c r="K846">
        <f>ROUND(calls[[#This Row],[Satisfaction Rating]],0)</f>
        <v>4</v>
      </c>
    </row>
    <row r="847" spans="1:11" ht="13.8" x14ac:dyDescent="0.25">
      <c r="A847" t="s">
        <v>876</v>
      </c>
      <c r="B847" t="s">
        <v>31</v>
      </c>
      <c r="C847">
        <v>155</v>
      </c>
      <c r="D847" s="4" t="s">
        <v>32</v>
      </c>
      <c r="E847" s="5">
        <v>45217</v>
      </c>
      <c r="F847">
        <v>72</v>
      </c>
      <c r="G847">
        <v>4.7</v>
      </c>
      <c r="H847">
        <f>IF(MONTH(calls[[#This Row],[Date of Call]])&lt;=6, YEAR(calls[[#This Row],[Date of Call]]), YEAR(calls[[#This Row],[Date of Call]])+1)</f>
        <v>2024</v>
      </c>
      <c r="I847" t="str">
        <f>TEXT(calls[[#This Row],[Date of Call]],"DDDD")</f>
        <v>Wednesday</v>
      </c>
      <c r="J847" t="str">
        <f t="array" ref="J847">_xlfn.IFS(calls[[#This Row],[Duration]]&lt;=10,"Under 10 mins", calls[[#This Row],[Duration]]&lt;=30, "10 to 30 mins", calls[[#This Row],[Duration]]&lt;=60, "30 to 60 mins", calls[[#This Row],[Duration]]&lt;=120, "1 to 2 hours", TRUE, "More than 2 hours")</f>
        <v>More than 2 hours</v>
      </c>
      <c r="K847">
        <f>ROUND(calls[[#This Row],[Satisfaction Rating]],0)</f>
        <v>5</v>
      </c>
    </row>
    <row r="848" spans="1:11" ht="13.8" x14ac:dyDescent="0.25">
      <c r="A848" t="s">
        <v>877</v>
      </c>
      <c r="B848" t="s">
        <v>20</v>
      </c>
      <c r="C848">
        <v>173</v>
      </c>
      <c r="D848" s="4" t="s">
        <v>23</v>
      </c>
      <c r="E848" s="5">
        <v>45217</v>
      </c>
      <c r="F848">
        <v>160</v>
      </c>
      <c r="G848">
        <v>2.8</v>
      </c>
      <c r="H848">
        <f>IF(MONTH(calls[[#This Row],[Date of Call]])&lt;=6, YEAR(calls[[#This Row],[Date of Call]]), YEAR(calls[[#This Row],[Date of Call]])+1)</f>
        <v>2024</v>
      </c>
      <c r="I848" t="str">
        <f>TEXT(calls[[#This Row],[Date of Call]],"DDDD")</f>
        <v>Wednesday</v>
      </c>
      <c r="J848" t="str">
        <f t="array" ref="J848">_xlfn.IFS(calls[[#This Row],[Duration]]&lt;=10,"Under 10 mins", calls[[#This Row],[Duration]]&lt;=30, "10 to 30 mins", calls[[#This Row],[Duration]]&lt;=60, "30 to 60 mins", calls[[#This Row],[Duration]]&lt;=120, "1 to 2 hours", TRUE, "More than 2 hours")</f>
        <v>More than 2 hours</v>
      </c>
      <c r="K848">
        <f>ROUND(calls[[#This Row],[Satisfaction Rating]],0)</f>
        <v>3</v>
      </c>
    </row>
    <row r="849" spans="1:11" ht="13.8" x14ac:dyDescent="0.25">
      <c r="A849" t="s">
        <v>878</v>
      </c>
      <c r="B849" t="s">
        <v>31</v>
      </c>
      <c r="C849">
        <v>127</v>
      </c>
      <c r="D849" s="4" t="s">
        <v>32</v>
      </c>
      <c r="E849" s="5">
        <v>45217</v>
      </c>
      <c r="F849">
        <v>165</v>
      </c>
      <c r="G849">
        <v>2.5</v>
      </c>
      <c r="H849">
        <f>IF(MONTH(calls[[#This Row],[Date of Call]])&lt;=6, YEAR(calls[[#This Row],[Date of Call]]), YEAR(calls[[#This Row],[Date of Call]])+1)</f>
        <v>2024</v>
      </c>
      <c r="I849" t="str">
        <f>TEXT(calls[[#This Row],[Date of Call]],"DDDD")</f>
        <v>Wednesday</v>
      </c>
      <c r="J849" t="str">
        <f t="array" ref="J849">_xlfn.IFS(calls[[#This Row],[Duration]]&lt;=10,"Under 10 mins", calls[[#This Row],[Duration]]&lt;=30, "10 to 30 mins", calls[[#This Row],[Duration]]&lt;=60, "30 to 60 mins", calls[[#This Row],[Duration]]&lt;=120, "1 to 2 hours", TRUE, "More than 2 hours")</f>
        <v>More than 2 hours</v>
      </c>
      <c r="K849">
        <f>ROUND(calls[[#This Row],[Satisfaction Rating]],0)</f>
        <v>3</v>
      </c>
    </row>
    <row r="850" spans="1:11" ht="13.8" x14ac:dyDescent="0.25">
      <c r="A850" t="s">
        <v>879</v>
      </c>
      <c r="B850" t="s">
        <v>15</v>
      </c>
      <c r="C850">
        <v>117</v>
      </c>
      <c r="D850" s="4" t="s">
        <v>23</v>
      </c>
      <c r="E850" s="5">
        <v>45217</v>
      </c>
      <c r="F850">
        <v>120</v>
      </c>
      <c r="G850">
        <v>3.4</v>
      </c>
      <c r="H850">
        <f>IF(MONTH(calls[[#This Row],[Date of Call]])&lt;=6, YEAR(calls[[#This Row],[Date of Call]]), YEAR(calls[[#This Row],[Date of Call]])+1)</f>
        <v>2024</v>
      </c>
      <c r="I850" t="str">
        <f>TEXT(calls[[#This Row],[Date of Call]],"DDDD")</f>
        <v>Wednesday</v>
      </c>
      <c r="J850" t="str">
        <f t="array" ref="J850">_xlfn.IFS(calls[[#This Row],[Duration]]&lt;=10,"Under 10 mins", calls[[#This Row],[Duration]]&lt;=30, "10 to 30 mins", calls[[#This Row],[Duration]]&lt;=60, "30 to 60 mins", calls[[#This Row],[Duration]]&lt;=120, "1 to 2 hours", TRUE, "More than 2 hours")</f>
        <v>1 to 2 hours</v>
      </c>
      <c r="K850">
        <f>ROUND(calls[[#This Row],[Satisfaction Rating]],0)</f>
        <v>3</v>
      </c>
    </row>
    <row r="851" spans="1:11" ht="13.8" x14ac:dyDescent="0.25">
      <c r="A851" t="s">
        <v>880</v>
      </c>
      <c r="B851" t="s">
        <v>12</v>
      </c>
      <c r="C851">
        <v>133</v>
      </c>
      <c r="D851" s="4" t="s">
        <v>18</v>
      </c>
      <c r="E851" s="5">
        <v>45217</v>
      </c>
      <c r="F851">
        <v>117</v>
      </c>
      <c r="G851">
        <v>4.8</v>
      </c>
      <c r="H851">
        <f>IF(MONTH(calls[[#This Row],[Date of Call]])&lt;=6, YEAR(calls[[#This Row],[Date of Call]]), YEAR(calls[[#This Row],[Date of Call]])+1)</f>
        <v>2024</v>
      </c>
      <c r="I851" t="str">
        <f>TEXT(calls[[#This Row],[Date of Call]],"DDDD")</f>
        <v>Wednesday</v>
      </c>
      <c r="J851" t="str">
        <f t="array" ref="J851">_xlfn.IFS(calls[[#This Row],[Duration]]&lt;=10,"Under 10 mins", calls[[#This Row],[Duration]]&lt;=30, "10 to 30 mins", calls[[#This Row],[Duration]]&lt;=60, "30 to 60 mins", calls[[#This Row],[Duration]]&lt;=120, "1 to 2 hours", TRUE, "More than 2 hours")</f>
        <v>More than 2 hours</v>
      </c>
      <c r="K851">
        <f>ROUND(calls[[#This Row],[Satisfaction Rating]],0)</f>
        <v>5</v>
      </c>
    </row>
    <row r="852" spans="1:11" ht="13.8" x14ac:dyDescent="0.25">
      <c r="A852" t="s">
        <v>881</v>
      </c>
      <c r="B852" t="s">
        <v>37</v>
      </c>
      <c r="C852">
        <v>166</v>
      </c>
      <c r="D852" s="4" t="s">
        <v>28</v>
      </c>
      <c r="E852" s="5">
        <v>45218</v>
      </c>
      <c r="F852">
        <v>29</v>
      </c>
      <c r="G852">
        <v>4.3</v>
      </c>
      <c r="H852">
        <f>IF(MONTH(calls[[#This Row],[Date of Call]])&lt;=6, YEAR(calls[[#This Row],[Date of Call]]), YEAR(calls[[#This Row],[Date of Call]])+1)</f>
        <v>2024</v>
      </c>
      <c r="I852" t="str">
        <f>TEXT(calls[[#This Row],[Date of Call]],"DDDD")</f>
        <v>Thursday</v>
      </c>
      <c r="J852" t="str">
        <f t="array" ref="J852">_xlfn.IFS(calls[[#This Row],[Duration]]&lt;=10,"Under 10 mins", calls[[#This Row],[Duration]]&lt;=30, "10 to 30 mins", calls[[#This Row],[Duration]]&lt;=60, "30 to 60 mins", calls[[#This Row],[Duration]]&lt;=120, "1 to 2 hours", TRUE, "More than 2 hours")</f>
        <v>More than 2 hours</v>
      </c>
      <c r="K852">
        <f>ROUND(calls[[#This Row],[Satisfaction Rating]],0)</f>
        <v>4</v>
      </c>
    </row>
    <row r="853" spans="1:11" ht="13.8" x14ac:dyDescent="0.25">
      <c r="A853" t="s">
        <v>882</v>
      </c>
      <c r="B853" t="s">
        <v>12</v>
      </c>
      <c r="C853">
        <v>50</v>
      </c>
      <c r="D853" s="4" t="s">
        <v>23</v>
      </c>
      <c r="E853" s="5">
        <v>45218</v>
      </c>
      <c r="F853">
        <v>64</v>
      </c>
      <c r="G853">
        <v>4.5</v>
      </c>
      <c r="H853">
        <f>IF(MONTH(calls[[#This Row],[Date of Call]])&lt;=6, YEAR(calls[[#This Row],[Date of Call]]), YEAR(calls[[#This Row],[Date of Call]])+1)</f>
        <v>2024</v>
      </c>
      <c r="I853" t="str">
        <f>TEXT(calls[[#This Row],[Date of Call]],"DDDD")</f>
        <v>Thursday</v>
      </c>
      <c r="J853" t="str">
        <f t="array" ref="J853">_xlfn.IFS(calls[[#This Row],[Duration]]&lt;=10,"Under 10 mins", calls[[#This Row],[Duration]]&lt;=30, "10 to 30 mins", calls[[#This Row],[Duration]]&lt;=60, "30 to 60 mins", calls[[#This Row],[Duration]]&lt;=120, "1 to 2 hours", TRUE, "More than 2 hours")</f>
        <v>30 to 60 mins</v>
      </c>
      <c r="K853">
        <f>ROUND(calls[[#This Row],[Satisfaction Rating]],0)</f>
        <v>5</v>
      </c>
    </row>
    <row r="854" spans="1:11" ht="13.8" x14ac:dyDescent="0.25">
      <c r="A854" t="s">
        <v>883</v>
      </c>
      <c r="B854" t="s">
        <v>51</v>
      </c>
      <c r="C854">
        <v>43</v>
      </c>
      <c r="D854" s="4" t="s">
        <v>18</v>
      </c>
      <c r="E854" s="5">
        <v>45218</v>
      </c>
      <c r="F854">
        <v>84</v>
      </c>
      <c r="G854">
        <v>3.6</v>
      </c>
      <c r="H854">
        <f>IF(MONTH(calls[[#This Row],[Date of Call]])&lt;=6, YEAR(calls[[#This Row],[Date of Call]]), YEAR(calls[[#This Row],[Date of Call]])+1)</f>
        <v>2024</v>
      </c>
      <c r="I854" t="str">
        <f>TEXT(calls[[#This Row],[Date of Call]],"DDDD")</f>
        <v>Thursday</v>
      </c>
      <c r="J854" t="str">
        <f t="array" ref="J854">_xlfn.IFS(calls[[#This Row],[Duration]]&lt;=10,"Under 10 mins", calls[[#This Row],[Duration]]&lt;=30, "10 to 30 mins", calls[[#This Row],[Duration]]&lt;=60, "30 to 60 mins", calls[[#This Row],[Duration]]&lt;=120, "1 to 2 hours", TRUE, "More than 2 hours")</f>
        <v>30 to 60 mins</v>
      </c>
      <c r="K854">
        <f>ROUND(calls[[#This Row],[Satisfaction Rating]],0)</f>
        <v>4</v>
      </c>
    </row>
    <row r="855" spans="1:11" ht="13.8" x14ac:dyDescent="0.25">
      <c r="A855" t="s">
        <v>884</v>
      </c>
      <c r="B855" t="s">
        <v>35</v>
      </c>
      <c r="C855">
        <v>124</v>
      </c>
      <c r="D855" s="4" t="s">
        <v>32</v>
      </c>
      <c r="E855" s="5">
        <v>45218</v>
      </c>
      <c r="F855">
        <v>42</v>
      </c>
      <c r="G855">
        <v>3.7</v>
      </c>
      <c r="H855">
        <f>IF(MONTH(calls[[#This Row],[Date of Call]])&lt;=6, YEAR(calls[[#This Row],[Date of Call]]), YEAR(calls[[#This Row],[Date of Call]])+1)</f>
        <v>2024</v>
      </c>
      <c r="I855" t="str">
        <f>TEXT(calls[[#This Row],[Date of Call]],"DDDD")</f>
        <v>Thursday</v>
      </c>
      <c r="J855" t="str">
        <f t="array" ref="J855">_xlfn.IFS(calls[[#This Row],[Duration]]&lt;=10,"Under 10 mins", calls[[#This Row],[Duration]]&lt;=30, "10 to 30 mins", calls[[#This Row],[Duration]]&lt;=60, "30 to 60 mins", calls[[#This Row],[Duration]]&lt;=120, "1 to 2 hours", TRUE, "More than 2 hours")</f>
        <v>More than 2 hours</v>
      </c>
      <c r="K855">
        <f>ROUND(calls[[#This Row],[Satisfaction Rating]],0)</f>
        <v>4</v>
      </c>
    </row>
    <row r="856" spans="1:11" ht="13.8" x14ac:dyDescent="0.25">
      <c r="A856" t="s">
        <v>885</v>
      </c>
      <c r="B856" t="s">
        <v>20</v>
      </c>
      <c r="C856">
        <v>94</v>
      </c>
      <c r="D856" s="4" t="s">
        <v>32</v>
      </c>
      <c r="E856" s="5">
        <v>45218</v>
      </c>
      <c r="F856">
        <v>120</v>
      </c>
      <c r="G856">
        <v>3.5</v>
      </c>
      <c r="H856">
        <f>IF(MONTH(calls[[#This Row],[Date of Call]])&lt;=6, YEAR(calls[[#This Row],[Date of Call]]), YEAR(calls[[#This Row],[Date of Call]])+1)</f>
        <v>2024</v>
      </c>
      <c r="I856" t="str">
        <f>TEXT(calls[[#This Row],[Date of Call]],"DDDD")</f>
        <v>Thursday</v>
      </c>
      <c r="J856" t="str">
        <f t="array" ref="J856">_xlfn.IFS(calls[[#This Row],[Duration]]&lt;=10,"Under 10 mins", calls[[#This Row],[Duration]]&lt;=30, "10 to 30 mins", calls[[#This Row],[Duration]]&lt;=60, "30 to 60 mins", calls[[#This Row],[Duration]]&lt;=120, "1 to 2 hours", TRUE, "More than 2 hours")</f>
        <v>1 to 2 hours</v>
      </c>
      <c r="K856">
        <f>ROUND(calls[[#This Row],[Satisfaction Rating]],0)</f>
        <v>4</v>
      </c>
    </row>
    <row r="857" spans="1:11" ht="13.8" x14ac:dyDescent="0.25">
      <c r="A857" t="s">
        <v>886</v>
      </c>
      <c r="B857" t="s">
        <v>51</v>
      </c>
      <c r="C857">
        <v>126</v>
      </c>
      <c r="D857" s="4" t="s">
        <v>28</v>
      </c>
      <c r="E857" s="5">
        <v>45219</v>
      </c>
      <c r="F857">
        <v>80</v>
      </c>
      <c r="G857">
        <v>4.7</v>
      </c>
      <c r="H857">
        <f>IF(MONTH(calls[[#This Row],[Date of Call]])&lt;=6, YEAR(calls[[#This Row],[Date of Call]]), YEAR(calls[[#This Row],[Date of Call]])+1)</f>
        <v>2024</v>
      </c>
      <c r="I857" t="str">
        <f>TEXT(calls[[#This Row],[Date of Call]],"DDDD")</f>
        <v>Friday</v>
      </c>
      <c r="J857" t="str">
        <f t="array" ref="J857">_xlfn.IFS(calls[[#This Row],[Duration]]&lt;=10,"Under 10 mins", calls[[#This Row],[Duration]]&lt;=30, "10 to 30 mins", calls[[#This Row],[Duration]]&lt;=60, "30 to 60 mins", calls[[#This Row],[Duration]]&lt;=120, "1 to 2 hours", TRUE, "More than 2 hours")</f>
        <v>More than 2 hours</v>
      </c>
      <c r="K857">
        <f>ROUND(calls[[#This Row],[Satisfaction Rating]],0)</f>
        <v>5</v>
      </c>
    </row>
    <row r="858" spans="1:11" ht="13.8" x14ac:dyDescent="0.25">
      <c r="A858" t="s">
        <v>887</v>
      </c>
      <c r="B858" t="s">
        <v>37</v>
      </c>
      <c r="C858">
        <v>105</v>
      </c>
      <c r="D858" s="4" t="s">
        <v>23</v>
      </c>
      <c r="E858" s="5">
        <v>45219</v>
      </c>
      <c r="F858">
        <v>185</v>
      </c>
      <c r="G858">
        <v>3.5</v>
      </c>
      <c r="H858">
        <f>IF(MONTH(calls[[#This Row],[Date of Call]])&lt;=6, YEAR(calls[[#This Row],[Date of Call]]), YEAR(calls[[#This Row],[Date of Call]])+1)</f>
        <v>2024</v>
      </c>
      <c r="I858" t="str">
        <f>TEXT(calls[[#This Row],[Date of Call]],"DDDD")</f>
        <v>Friday</v>
      </c>
      <c r="J858" t="str">
        <f t="array" ref="J858">_xlfn.IFS(calls[[#This Row],[Duration]]&lt;=10,"Under 10 mins", calls[[#This Row],[Duration]]&lt;=30, "10 to 30 mins", calls[[#This Row],[Duration]]&lt;=60, "30 to 60 mins", calls[[#This Row],[Duration]]&lt;=120, "1 to 2 hours", TRUE, "More than 2 hours")</f>
        <v>1 to 2 hours</v>
      </c>
      <c r="K858">
        <f>ROUND(calls[[#This Row],[Satisfaction Rating]],0)</f>
        <v>4</v>
      </c>
    </row>
    <row r="859" spans="1:11" ht="13.8" x14ac:dyDescent="0.25">
      <c r="A859" t="s">
        <v>888</v>
      </c>
      <c r="B859" t="s">
        <v>22</v>
      </c>
      <c r="C859">
        <v>60</v>
      </c>
      <c r="D859" s="4" t="s">
        <v>13</v>
      </c>
      <c r="E859" s="5">
        <v>45220</v>
      </c>
      <c r="F859">
        <v>135</v>
      </c>
      <c r="G859">
        <v>3.9</v>
      </c>
      <c r="H859">
        <f>IF(MONTH(calls[[#This Row],[Date of Call]])&lt;=6, YEAR(calls[[#This Row],[Date of Call]]), YEAR(calls[[#This Row],[Date of Call]])+1)</f>
        <v>2024</v>
      </c>
      <c r="I859" t="str">
        <f>TEXT(calls[[#This Row],[Date of Call]],"DDDD")</f>
        <v>Saturday</v>
      </c>
      <c r="J859" t="str">
        <f t="array" ref="J859">_xlfn.IFS(calls[[#This Row],[Duration]]&lt;=10,"Under 10 mins", calls[[#This Row],[Duration]]&lt;=30, "10 to 30 mins", calls[[#This Row],[Duration]]&lt;=60, "30 to 60 mins", calls[[#This Row],[Duration]]&lt;=120, "1 to 2 hours", TRUE, "More than 2 hours")</f>
        <v>30 to 60 mins</v>
      </c>
      <c r="K859">
        <f>ROUND(calls[[#This Row],[Satisfaction Rating]],0)</f>
        <v>4</v>
      </c>
    </row>
    <row r="860" spans="1:11" ht="13.8" x14ac:dyDescent="0.25">
      <c r="A860" t="s">
        <v>889</v>
      </c>
      <c r="B860" t="s">
        <v>22</v>
      </c>
      <c r="C860">
        <v>72</v>
      </c>
      <c r="D860" s="4" t="s">
        <v>23</v>
      </c>
      <c r="E860" s="5">
        <v>45220</v>
      </c>
      <c r="F860">
        <v>20</v>
      </c>
      <c r="G860">
        <v>4.8</v>
      </c>
      <c r="H860">
        <f>IF(MONTH(calls[[#This Row],[Date of Call]])&lt;=6, YEAR(calls[[#This Row],[Date of Call]]), YEAR(calls[[#This Row],[Date of Call]])+1)</f>
        <v>2024</v>
      </c>
      <c r="I860" t="str">
        <f>TEXT(calls[[#This Row],[Date of Call]],"DDDD")</f>
        <v>Saturday</v>
      </c>
      <c r="J860" t="str">
        <f t="array" ref="J860">_xlfn.IFS(calls[[#This Row],[Duration]]&lt;=10,"Under 10 mins", calls[[#This Row],[Duration]]&lt;=30, "10 to 30 mins", calls[[#This Row],[Duration]]&lt;=60, "30 to 60 mins", calls[[#This Row],[Duration]]&lt;=120, "1 to 2 hours", TRUE, "More than 2 hours")</f>
        <v>1 to 2 hours</v>
      </c>
      <c r="K860">
        <f>ROUND(calls[[#This Row],[Satisfaction Rating]],0)</f>
        <v>5</v>
      </c>
    </row>
    <row r="861" spans="1:11" ht="13.8" x14ac:dyDescent="0.25">
      <c r="A861" t="s">
        <v>890</v>
      </c>
      <c r="B861" t="s">
        <v>54</v>
      </c>
      <c r="C861">
        <v>40</v>
      </c>
      <c r="D861" s="4" t="s">
        <v>23</v>
      </c>
      <c r="E861" s="5">
        <v>45220</v>
      </c>
      <c r="F861">
        <v>31</v>
      </c>
      <c r="G861">
        <v>4</v>
      </c>
      <c r="H861">
        <f>IF(MONTH(calls[[#This Row],[Date of Call]])&lt;=6, YEAR(calls[[#This Row],[Date of Call]]), YEAR(calls[[#This Row],[Date of Call]])+1)</f>
        <v>2024</v>
      </c>
      <c r="I861" t="str">
        <f>TEXT(calls[[#This Row],[Date of Call]],"DDDD")</f>
        <v>Saturday</v>
      </c>
      <c r="J861" t="str">
        <f t="array" ref="J861">_xlfn.IFS(calls[[#This Row],[Duration]]&lt;=10,"Under 10 mins", calls[[#This Row],[Duration]]&lt;=30, "10 to 30 mins", calls[[#This Row],[Duration]]&lt;=60, "30 to 60 mins", calls[[#This Row],[Duration]]&lt;=120, "1 to 2 hours", TRUE, "More than 2 hours")</f>
        <v>30 to 60 mins</v>
      </c>
      <c r="K861">
        <f>ROUND(calls[[#This Row],[Satisfaction Rating]],0)</f>
        <v>4</v>
      </c>
    </row>
    <row r="862" spans="1:11" ht="13.8" x14ac:dyDescent="0.25">
      <c r="A862" t="s">
        <v>891</v>
      </c>
      <c r="B862" t="s">
        <v>84</v>
      </c>
      <c r="C862">
        <v>54</v>
      </c>
      <c r="D862" s="4" t="s">
        <v>28</v>
      </c>
      <c r="E862" s="5">
        <v>45221</v>
      </c>
      <c r="F862">
        <v>120</v>
      </c>
      <c r="G862">
        <v>4.7</v>
      </c>
      <c r="H862">
        <f>IF(MONTH(calls[[#This Row],[Date of Call]])&lt;=6, YEAR(calls[[#This Row],[Date of Call]]), YEAR(calls[[#This Row],[Date of Call]])+1)</f>
        <v>2024</v>
      </c>
      <c r="I862" t="str">
        <f>TEXT(calls[[#This Row],[Date of Call]],"DDDD")</f>
        <v>Sunday</v>
      </c>
      <c r="J862" t="str">
        <f t="array" ref="J862">_xlfn.IFS(calls[[#This Row],[Duration]]&lt;=10,"Under 10 mins", calls[[#This Row],[Duration]]&lt;=30, "10 to 30 mins", calls[[#This Row],[Duration]]&lt;=60, "30 to 60 mins", calls[[#This Row],[Duration]]&lt;=120, "1 to 2 hours", TRUE, "More than 2 hours")</f>
        <v>30 to 60 mins</v>
      </c>
      <c r="K862">
        <f>ROUND(calls[[#This Row],[Satisfaction Rating]],0)</f>
        <v>5</v>
      </c>
    </row>
    <row r="863" spans="1:11" ht="13.8" x14ac:dyDescent="0.25">
      <c r="A863" t="s">
        <v>892</v>
      </c>
      <c r="B863" t="s">
        <v>15</v>
      </c>
      <c r="C863">
        <v>81</v>
      </c>
      <c r="D863" s="4" t="s">
        <v>18</v>
      </c>
      <c r="E863" s="5">
        <v>45221</v>
      </c>
      <c r="F863">
        <v>117</v>
      </c>
      <c r="G863">
        <v>3.6</v>
      </c>
      <c r="H863">
        <f>IF(MONTH(calls[[#This Row],[Date of Call]])&lt;=6, YEAR(calls[[#This Row],[Date of Call]]), YEAR(calls[[#This Row],[Date of Call]])+1)</f>
        <v>2024</v>
      </c>
      <c r="I863" t="str">
        <f>TEXT(calls[[#This Row],[Date of Call]],"DDDD")</f>
        <v>Sunday</v>
      </c>
      <c r="J863" t="str">
        <f t="array" ref="J863">_xlfn.IFS(calls[[#This Row],[Duration]]&lt;=10,"Under 10 mins", calls[[#This Row],[Duration]]&lt;=30, "10 to 30 mins", calls[[#This Row],[Duration]]&lt;=60, "30 to 60 mins", calls[[#This Row],[Duration]]&lt;=120, "1 to 2 hours", TRUE, "More than 2 hours")</f>
        <v>1 to 2 hours</v>
      </c>
      <c r="K863">
        <f>ROUND(calls[[#This Row],[Satisfaction Rating]],0)</f>
        <v>4</v>
      </c>
    </row>
    <row r="864" spans="1:11" ht="13.8" x14ac:dyDescent="0.25">
      <c r="A864" t="s">
        <v>893</v>
      </c>
      <c r="B864" t="s">
        <v>84</v>
      </c>
      <c r="C864">
        <v>76</v>
      </c>
      <c r="D864" s="4" t="s">
        <v>32</v>
      </c>
      <c r="E864" s="5">
        <v>45221</v>
      </c>
      <c r="F864">
        <v>80</v>
      </c>
      <c r="G864">
        <v>4.5</v>
      </c>
      <c r="H864">
        <f>IF(MONTH(calls[[#This Row],[Date of Call]])&lt;=6, YEAR(calls[[#This Row],[Date of Call]]), YEAR(calls[[#This Row],[Date of Call]])+1)</f>
        <v>2024</v>
      </c>
      <c r="I864" t="str">
        <f>TEXT(calls[[#This Row],[Date of Call]],"DDDD")</f>
        <v>Sunday</v>
      </c>
      <c r="J864" t="str">
        <f t="array" ref="J864">_xlfn.IFS(calls[[#This Row],[Duration]]&lt;=10,"Under 10 mins", calls[[#This Row],[Duration]]&lt;=30, "10 to 30 mins", calls[[#This Row],[Duration]]&lt;=60, "30 to 60 mins", calls[[#This Row],[Duration]]&lt;=120, "1 to 2 hours", TRUE, "More than 2 hours")</f>
        <v>1 to 2 hours</v>
      </c>
      <c r="K864">
        <f>ROUND(calls[[#This Row],[Satisfaction Rating]],0)</f>
        <v>5</v>
      </c>
    </row>
    <row r="865" spans="1:11" ht="13.8" x14ac:dyDescent="0.25">
      <c r="A865" t="s">
        <v>894</v>
      </c>
      <c r="B865" t="s">
        <v>84</v>
      </c>
      <c r="C865">
        <v>37</v>
      </c>
      <c r="D865" s="4" t="s">
        <v>13</v>
      </c>
      <c r="E865" s="5">
        <v>45222</v>
      </c>
      <c r="F865">
        <v>117</v>
      </c>
      <c r="G865">
        <v>4</v>
      </c>
      <c r="H865">
        <f>IF(MONTH(calls[[#This Row],[Date of Call]])&lt;=6, YEAR(calls[[#This Row],[Date of Call]]), YEAR(calls[[#This Row],[Date of Call]])+1)</f>
        <v>2024</v>
      </c>
      <c r="I865" t="str">
        <f>TEXT(calls[[#This Row],[Date of Call]],"DDDD")</f>
        <v>Monday</v>
      </c>
      <c r="J865" t="str">
        <f t="array" ref="J865">_xlfn.IFS(calls[[#This Row],[Duration]]&lt;=10,"Under 10 mins", calls[[#This Row],[Duration]]&lt;=30, "10 to 30 mins", calls[[#This Row],[Duration]]&lt;=60, "30 to 60 mins", calls[[#This Row],[Duration]]&lt;=120, "1 to 2 hours", TRUE, "More than 2 hours")</f>
        <v>30 to 60 mins</v>
      </c>
      <c r="K865">
        <f>ROUND(calls[[#This Row],[Satisfaction Rating]],0)</f>
        <v>4</v>
      </c>
    </row>
    <row r="866" spans="1:11" ht="13.8" x14ac:dyDescent="0.25">
      <c r="A866" t="s">
        <v>895</v>
      </c>
      <c r="B866" t="s">
        <v>37</v>
      </c>
      <c r="C866">
        <v>96</v>
      </c>
      <c r="D866" s="4" t="s">
        <v>28</v>
      </c>
      <c r="E866" s="5">
        <v>45222</v>
      </c>
      <c r="F866">
        <v>60</v>
      </c>
      <c r="G866">
        <v>4.5</v>
      </c>
      <c r="H866">
        <f>IF(MONTH(calls[[#This Row],[Date of Call]])&lt;=6, YEAR(calls[[#This Row],[Date of Call]]), YEAR(calls[[#This Row],[Date of Call]])+1)</f>
        <v>2024</v>
      </c>
      <c r="I866" t="str">
        <f>TEXT(calls[[#This Row],[Date of Call]],"DDDD")</f>
        <v>Monday</v>
      </c>
      <c r="J866" t="str">
        <f t="array" ref="J866">_xlfn.IFS(calls[[#This Row],[Duration]]&lt;=10,"Under 10 mins", calls[[#This Row],[Duration]]&lt;=30, "10 to 30 mins", calls[[#This Row],[Duration]]&lt;=60, "30 to 60 mins", calls[[#This Row],[Duration]]&lt;=120, "1 to 2 hours", TRUE, "More than 2 hours")</f>
        <v>1 to 2 hours</v>
      </c>
      <c r="K866">
        <f>ROUND(calls[[#This Row],[Satisfaction Rating]],0)</f>
        <v>5</v>
      </c>
    </row>
    <row r="867" spans="1:11" ht="13.8" x14ac:dyDescent="0.25">
      <c r="A867" t="s">
        <v>896</v>
      </c>
      <c r="B867" t="s">
        <v>22</v>
      </c>
      <c r="C867">
        <v>19</v>
      </c>
      <c r="D867" s="4" t="s">
        <v>32</v>
      </c>
      <c r="E867" s="5">
        <v>45223</v>
      </c>
      <c r="F867">
        <v>58</v>
      </c>
      <c r="G867">
        <v>3.9</v>
      </c>
      <c r="H867">
        <f>IF(MONTH(calls[[#This Row],[Date of Call]])&lt;=6, YEAR(calls[[#This Row],[Date of Call]]), YEAR(calls[[#This Row],[Date of Call]])+1)</f>
        <v>2024</v>
      </c>
      <c r="I867" t="str">
        <f>TEXT(calls[[#This Row],[Date of Call]],"DDDD")</f>
        <v>Tuesday</v>
      </c>
      <c r="J867" t="str">
        <f t="array" ref="J867">_xlfn.IFS(calls[[#This Row],[Duration]]&lt;=10,"Under 10 mins", calls[[#This Row],[Duration]]&lt;=30, "10 to 30 mins", calls[[#This Row],[Duration]]&lt;=60, "30 to 60 mins", calls[[#This Row],[Duration]]&lt;=120, "1 to 2 hours", TRUE, "More than 2 hours")</f>
        <v>10 to 30 mins</v>
      </c>
      <c r="K867">
        <f>ROUND(calls[[#This Row],[Satisfaction Rating]],0)</f>
        <v>4</v>
      </c>
    </row>
    <row r="868" spans="1:11" ht="13.8" x14ac:dyDescent="0.25">
      <c r="A868" t="s">
        <v>897</v>
      </c>
      <c r="B868" t="s">
        <v>54</v>
      </c>
      <c r="C868">
        <v>72</v>
      </c>
      <c r="D868" s="4" t="s">
        <v>13</v>
      </c>
      <c r="E868" s="5">
        <v>45223</v>
      </c>
      <c r="F868">
        <v>41</v>
      </c>
      <c r="G868">
        <v>4.3</v>
      </c>
      <c r="H868">
        <f>IF(MONTH(calls[[#This Row],[Date of Call]])&lt;=6, YEAR(calls[[#This Row],[Date of Call]]), YEAR(calls[[#This Row],[Date of Call]])+1)</f>
        <v>2024</v>
      </c>
      <c r="I868" t="str">
        <f>TEXT(calls[[#This Row],[Date of Call]],"DDDD")</f>
        <v>Tuesday</v>
      </c>
      <c r="J868" t="str">
        <f t="array" ref="J868">_xlfn.IFS(calls[[#This Row],[Duration]]&lt;=10,"Under 10 mins", calls[[#This Row],[Duration]]&lt;=30, "10 to 30 mins", calls[[#This Row],[Duration]]&lt;=60, "30 to 60 mins", calls[[#This Row],[Duration]]&lt;=120, "1 to 2 hours", TRUE, "More than 2 hours")</f>
        <v>1 to 2 hours</v>
      </c>
      <c r="K868">
        <f>ROUND(calls[[#This Row],[Satisfaction Rating]],0)</f>
        <v>4</v>
      </c>
    </row>
    <row r="869" spans="1:11" ht="13.8" x14ac:dyDescent="0.25">
      <c r="A869" t="s">
        <v>898</v>
      </c>
      <c r="B869" t="s">
        <v>20</v>
      </c>
      <c r="C869">
        <v>73</v>
      </c>
      <c r="D869" s="4" t="s">
        <v>18</v>
      </c>
      <c r="E869" s="5">
        <v>45223</v>
      </c>
      <c r="F869">
        <v>180</v>
      </c>
      <c r="G869">
        <v>3.6</v>
      </c>
      <c r="H869">
        <f>IF(MONTH(calls[[#This Row],[Date of Call]])&lt;=6, YEAR(calls[[#This Row],[Date of Call]]), YEAR(calls[[#This Row],[Date of Call]])+1)</f>
        <v>2024</v>
      </c>
      <c r="I869" t="str">
        <f>TEXT(calls[[#This Row],[Date of Call]],"DDDD")</f>
        <v>Tuesday</v>
      </c>
      <c r="J869" t="str">
        <f t="array" ref="J869">_xlfn.IFS(calls[[#This Row],[Duration]]&lt;=10,"Under 10 mins", calls[[#This Row],[Duration]]&lt;=30, "10 to 30 mins", calls[[#This Row],[Duration]]&lt;=60, "30 to 60 mins", calls[[#This Row],[Duration]]&lt;=120, "1 to 2 hours", TRUE, "More than 2 hours")</f>
        <v>1 to 2 hours</v>
      </c>
      <c r="K869">
        <f>ROUND(calls[[#This Row],[Satisfaction Rating]],0)</f>
        <v>4</v>
      </c>
    </row>
    <row r="870" spans="1:11" ht="13.8" x14ac:dyDescent="0.25">
      <c r="A870" t="s">
        <v>899</v>
      </c>
      <c r="B870" t="s">
        <v>64</v>
      </c>
      <c r="C870">
        <v>87</v>
      </c>
      <c r="D870" s="4" t="s">
        <v>18</v>
      </c>
      <c r="E870" s="5">
        <v>45223</v>
      </c>
      <c r="F870">
        <v>42</v>
      </c>
      <c r="G870">
        <v>3.6</v>
      </c>
      <c r="H870">
        <f>IF(MONTH(calls[[#This Row],[Date of Call]])&lt;=6, YEAR(calls[[#This Row],[Date of Call]]), YEAR(calls[[#This Row],[Date of Call]])+1)</f>
        <v>2024</v>
      </c>
      <c r="I870" t="str">
        <f>TEXT(calls[[#This Row],[Date of Call]],"DDDD")</f>
        <v>Tuesday</v>
      </c>
      <c r="J870" t="str">
        <f t="array" ref="J870">_xlfn.IFS(calls[[#This Row],[Duration]]&lt;=10,"Under 10 mins", calls[[#This Row],[Duration]]&lt;=30, "10 to 30 mins", calls[[#This Row],[Duration]]&lt;=60, "30 to 60 mins", calls[[#This Row],[Duration]]&lt;=120, "1 to 2 hours", TRUE, "More than 2 hours")</f>
        <v>1 to 2 hours</v>
      </c>
      <c r="K870">
        <f>ROUND(calls[[#This Row],[Satisfaction Rating]],0)</f>
        <v>4</v>
      </c>
    </row>
    <row r="871" spans="1:11" ht="13.8" x14ac:dyDescent="0.25">
      <c r="A871" t="s">
        <v>900</v>
      </c>
      <c r="B871" t="s">
        <v>64</v>
      </c>
      <c r="C871">
        <v>68</v>
      </c>
      <c r="D871" s="4" t="s">
        <v>18</v>
      </c>
      <c r="E871" s="5">
        <v>45224</v>
      </c>
      <c r="F871">
        <v>24</v>
      </c>
      <c r="G871">
        <v>4</v>
      </c>
      <c r="H871">
        <f>IF(MONTH(calls[[#This Row],[Date of Call]])&lt;=6, YEAR(calls[[#This Row],[Date of Call]]), YEAR(calls[[#This Row],[Date of Call]])+1)</f>
        <v>2024</v>
      </c>
      <c r="I871" t="str">
        <f>TEXT(calls[[#This Row],[Date of Call]],"DDDD")</f>
        <v>Wednesday</v>
      </c>
      <c r="J871" t="str">
        <f t="array" ref="J871">_xlfn.IFS(calls[[#This Row],[Duration]]&lt;=10,"Under 10 mins", calls[[#This Row],[Duration]]&lt;=30, "10 to 30 mins", calls[[#This Row],[Duration]]&lt;=60, "30 to 60 mins", calls[[#This Row],[Duration]]&lt;=120, "1 to 2 hours", TRUE, "More than 2 hours")</f>
        <v>1 to 2 hours</v>
      </c>
      <c r="K871">
        <f>ROUND(calls[[#This Row],[Satisfaction Rating]],0)</f>
        <v>4</v>
      </c>
    </row>
    <row r="872" spans="1:11" ht="13.8" x14ac:dyDescent="0.25">
      <c r="A872" t="s">
        <v>901</v>
      </c>
      <c r="B872" t="s">
        <v>54</v>
      </c>
      <c r="C872">
        <v>101</v>
      </c>
      <c r="D872" s="4" t="s">
        <v>18</v>
      </c>
      <c r="E872" s="5">
        <v>45224</v>
      </c>
      <c r="F872">
        <v>125</v>
      </c>
      <c r="G872">
        <v>4.2</v>
      </c>
      <c r="H872">
        <f>IF(MONTH(calls[[#This Row],[Date of Call]])&lt;=6, YEAR(calls[[#This Row],[Date of Call]]), YEAR(calls[[#This Row],[Date of Call]])+1)</f>
        <v>2024</v>
      </c>
      <c r="I872" t="str">
        <f>TEXT(calls[[#This Row],[Date of Call]],"DDDD")</f>
        <v>Wednesday</v>
      </c>
      <c r="J872" t="str">
        <f t="array" ref="J872">_xlfn.IFS(calls[[#This Row],[Duration]]&lt;=10,"Under 10 mins", calls[[#This Row],[Duration]]&lt;=30, "10 to 30 mins", calls[[#This Row],[Duration]]&lt;=60, "30 to 60 mins", calls[[#This Row],[Duration]]&lt;=120, "1 to 2 hours", TRUE, "More than 2 hours")</f>
        <v>1 to 2 hours</v>
      </c>
      <c r="K872">
        <f>ROUND(calls[[#This Row],[Satisfaction Rating]],0)</f>
        <v>4</v>
      </c>
    </row>
    <row r="873" spans="1:11" ht="13.8" x14ac:dyDescent="0.25">
      <c r="A873" t="s">
        <v>902</v>
      </c>
      <c r="B873" t="s">
        <v>54</v>
      </c>
      <c r="C873">
        <v>107</v>
      </c>
      <c r="D873" s="4" t="s">
        <v>13</v>
      </c>
      <c r="E873" s="5">
        <v>45225</v>
      </c>
      <c r="F873">
        <v>78</v>
      </c>
      <c r="G873">
        <v>4.3</v>
      </c>
      <c r="H873">
        <f>IF(MONTH(calls[[#This Row],[Date of Call]])&lt;=6, YEAR(calls[[#This Row],[Date of Call]]), YEAR(calls[[#This Row],[Date of Call]])+1)</f>
        <v>2024</v>
      </c>
      <c r="I873" t="str">
        <f>TEXT(calls[[#This Row],[Date of Call]],"DDDD")</f>
        <v>Thursday</v>
      </c>
      <c r="J873" t="str">
        <f t="array" ref="J873">_xlfn.IFS(calls[[#This Row],[Duration]]&lt;=10,"Under 10 mins", calls[[#This Row],[Duration]]&lt;=30, "10 to 30 mins", calls[[#This Row],[Duration]]&lt;=60, "30 to 60 mins", calls[[#This Row],[Duration]]&lt;=120, "1 to 2 hours", TRUE, "More than 2 hours")</f>
        <v>1 to 2 hours</v>
      </c>
      <c r="K873">
        <f>ROUND(calls[[#This Row],[Satisfaction Rating]],0)</f>
        <v>4</v>
      </c>
    </row>
    <row r="874" spans="1:11" ht="13.8" x14ac:dyDescent="0.25">
      <c r="A874" t="s">
        <v>903</v>
      </c>
      <c r="B874" t="s">
        <v>43</v>
      </c>
      <c r="C874">
        <v>109</v>
      </c>
      <c r="D874" s="4" t="s">
        <v>23</v>
      </c>
      <c r="E874" s="5">
        <v>45225</v>
      </c>
      <c r="F874">
        <v>180</v>
      </c>
      <c r="G874">
        <v>3.8</v>
      </c>
      <c r="H874">
        <f>IF(MONTH(calls[[#This Row],[Date of Call]])&lt;=6, YEAR(calls[[#This Row],[Date of Call]]), YEAR(calls[[#This Row],[Date of Call]])+1)</f>
        <v>2024</v>
      </c>
      <c r="I874" t="str">
        <f>TEXT(calls[[#This Row],[Date of Call]],"DDDD")</f>
        <v>Thursday</v>
      </c>
      <c r="J874" t="str">
        <f t="array" ref="J874">_xlfn.IFS(calls[[#This Row],[Duration]]&lt;=10,"Under 10 mins", calls[[#This Row],[Duration]]&lt;=30, "10 to 30 mins", calls[[#This Row],[Duration]]&lt;=60, "30 to 60 mins", calls[[#This Row],[Duration]]&lt;=120, "1 to 2 hours", TRUE, "More than 2 hours")</f>
        <v>1 to 2 hours</v>
      </c>
      <c r="K874">
        <f>ROUND(calls[[#This Row],[Satisfaction Rating]],0)</f>
        <v>4</v>
      </c>
    </row>
    <row r="875" spans="1:11" ht="13.8" x14ac:dyDescent="0.25">
      <c r="A875" t="s">
        <v>904</v>
      </c>
      <c r="B875" t="s">
        <v>35</v>
      </c>
      <c r="C875">
        <v>171</v>
      </c>
      <c r="D875" s="4" t="s">
        <v>13</v>
      </c>
      <c r="E875" s="5">
        <v>45225</v>
      </c>
      <c r="F875">
        <v>84</v>
      </c>
      <c r="G875">
        <v>4.4000000000000004</v>
      </c>
      <c r="H875">
        <f>IF(MONTH(calls[[#This Row],[Date of Call]])&lt;=6, YEAR(calls[[#This Row],[Date of Call]]), YEAR(calls[[#This Row],[Date of Call]])+1)</f>
        <v>2024</v>
      </c>
      <c r="I875" t="str">
        <f>TEXT(calls[[#This Row],[Date of Call]],"DDDD")</f>
        <v>Thursday</v>
      </c>
      <c r="J875" t="str">
        <f t="array" ref="J875">_xlfn.IFS(calls[[#This Row],[Duration]]&lt;=10,"Under 10 mins", calls[[#This Row],[Duration]]&lt;=30, "10 to 30 mins", calls[[#This Row],[Duration]]&lt;=60, "30 to 60 mins", calls[[#This Row],[Duration]]&lt;=120, "1 to 2 hours", TRUE, "More than 2 hours")</f>
        <v>More than 2 hours</v>
      </c>
      <c r="K875">
        <f>ROUND(calls[[#This Row],[Satisfaction Rating]],0)</f>
        <v>4</v>
      </c>
    </row>
    <row r="876" spans="1:11" ht="13.8" x14ac:dyDescent="0.25">
      <c r="A876" t="s">
        <v>905</v>
      </c>
      <c r="B876" t="s">
        <v>22</v>
      </c>
      <c r="C876">
        <v>21</v>
      </c>
      <c r="D876" s="4" t="s">
        <v>13</v>
      </c>
      <c r="E876" s="5">
        <v>45225</v>
      </c>
      <c r="F876">
        <v>26</v>
      </c>
      <c r="G876">
        <v>4.7</v>
      </c>
      <c r="H876">
        <f>IF(MONTH(calls[[#This Row],[Date of Call]])&lt;=6, YEAR(calls[[#This Row],[Date of Call]]), YEAR(calls[[#This Row],[Date of Call]])+1)</f>
        <v>2024</v>
      </c>
      <c r="I876" t="str">
        <f>TEXT(calls[[#This Row],[Date of Call]],"DDDD")</f>
        <v>Thursday</v>
      </c>
      <c r="J876" t="str">
        <f t="array" ref="J876">_xlfn.IFS(calls[[#This Row],[Duration]]&lt;=10,"Under 10 mins", calls[[#This Row],[Duration]]&lt;=30, "10 to 30 mins", calls[[#This Row],[Duration]]&lt;=60, "30 to 60 mins", calls[[#This Row],[Duration]]&lt;=120, "1 to 2 hours", TRUE, "More than 2 hours")</f>
        <v>10 to 30 mins</v>
      </c>
      <c r="K876">
        <f>ROUND(calls[[#This Row],[Satisfaction Rating]],0)</f>
        <v>5</v>
      </c>
    </row>
    <row r="877" spans="1:11" ht="13.8" x14ac:dyDescent="0.25">
      <c r="A877" t="s">
        <v>906</v>
      </c>
      <c r="B877" t="s">
        <v>15</v>
      </c>
      <c r="C877">
        <v>94</v>
      </c>
      <c r="D877" s="4" t="s">
        <v>13</v>
      </c>
      <c r="E877" s="5">
        <v>45226</v>
      </c>
      <c r="F877">
        <v>140</v>
      </c>
      <c r="G877">
        <v>3.6</v>
      </c>
      <c r="H877">
        <f>IF(MONTH(calls[[#This Row],[Date of Call]])&lt;=6, YEAR(calls[[#This Row],[Date of Call]]), YEAR(calls[[#This Row],[Date of Call]])+1)</f>
        <v>2024</v>
      </c>
      <c r="I877" t="str">
        <f>TEXT(calls[[#This Row],[Date of Call]],"DDDD")</f>
        <v>Friday</v>
      </c>
      <c r="J877" t="str">
        <f t="array" ref="J877">_xlfn.IFS(calls[[#This Row],[Duration]]&lt;=10,"Under 10 mins", calls[[#This Row],[Duration]]&lt;=30, "10 to 30 mins", calls[[#This Row],[Duration]]&lt;=60, "30 to 60 mins", calls[[#This Row],[Duration]]&lt;=120, "1 to 2 hours", TRUE, "More than 2 hours")</f>
        <v>1 to 2 hours</v>
      </c>
      <c r="K877">
        <f>ROUND(calls[[#This Row],[Satisfaction Rating]],0)</f>
        <v>4</v>
      </c>
    </row>
    <row r="878" spans="1:11" ht="13.8" x14ac:dyDescent="0.25">
      <c r="A878" t="s">
        <v>907</v>
      </c>
      <c r="B878" t="s">
        <v>20</v>
      </c>
      <c r="C878">
        <v>97</v>
      </c>
      <c r="D878" s="4" t="s">
        <v>23</v>
      </c>
      <c r="E878" s="5">
        <v>45226</v>
      </c>
      <c r="F878">
        <v>31</v>
      </c>
      <c r="G878">
        <v>2.2000000000000002</v>
      </c>
      <c r="H878">
        <f>IF(MONTH(calls[[#This Row],[Date of Call]])&lt;=6, YEAR(calls[[#This Row],[Date of Call]]), YEAR(calls[[#This Row],[Date of Call]])+1)</f>
        <v>2024</v>
      </c>
      <c r="I878" t="str">
        <f>TEXT(calls[[#This Row],[Date of Call]],"DDDD")</f>
        <v>Friday</v>
      </c>
      <c r="J878" t="str">
        <f t="array" ref="J878">_xlfn.IFS(calls[[#This Row],[Duration]]&lt;=10,"Under 10 mins", calls[[#This Row],[Duration]]&lt;=30, "10 to 30 mins", calls[[#This Row],[Duration]]&lt;=60, "30 to 60 mins", calls[[#This Row],[Duration]]&lt;=120, "1 to 2 hours", TRUE, "More than 2 hours")</f>
        <v>1 to 2 hours</v>
      </c>
      <c r="K878">
        <f>ROUND(calls[[#This Row],[Satisfaction Rating]],0)</f>
        <v>2</v>
      </c>
    </row>
    <row r="879" spans="1:11" ht="13.8" x14ac:dyDescent="0.25">
      <c r="A879" t="s">
        <v>908</v>
      </c>
      <c r="B879" t="s">
        <v>37</v>
      </c>
      <c r="C879">
        <v>72</v>
      </c>
      <c r="D879" s="4" t="s">
        <v>23</v>
      </c>
      <c r="E879" s="5">
        <v>45226</v>
      </c>
      <c r="F879">
        <v>108</v>
      </c>
      <c r="G879">
        <v>4.8</v>
      </c>
      <c r="H879">
        <f>IF(MONTH(calls[[#This Row],[Date of Call]])&lt;=6, YEAR(calls[[#This Row],[Date of Call]]), YEAR(calls[[#This Row],[Date of Call]])+1)</f>
        <v>2024</v>
      </c>
      <c r="I879" t="str">
        <f>TEXT(calls[[#This Row],[Date of Call]],"DDDD")</f>
        <v>Friday</v>
      </c>
      <c r="J879" t="str">
        <f t="array" ref="J879">_xlfn.IFS(calls[[#This Row],[Duration]]&lt;=10,"Under 10 mins", calls[[#This Row],[Duration]]&lt;=30, "10 to 30 mins", calls[[#This Row],[Duration]]&lt;=60, "30 to 60 mins", calls[[#This Row],[Duration]]&lt;=120, "1 to 2 hours", TRUE, "More than 2 hours")</f>
        <v>1 to 2 hours</v>
      </c>
      <c r="K879">
        <f>ROUND(calls[[#This Row],[Satisfaction Rating]],0)</f>
        <v>5</v>
      </c>
    </row>
    <row r="880" spans="1:11" ht="13.8" x14ac:dyDescent="0.25">
      <c r="A880" t="s">
        <v>909</v>
      </c>
      <c r="B880" t="s">
        <v>35</v>
      </c>
      <c r="C880">
        <v>143</v>
      </c>
      <c r="D880" s="4" t="s">
        <v>28</v>
      </c>
      <c r="E880" s="5">
        <v>45227</v>
      </c>
      <c r="F880">
        <v>58</v>
      </c>
      <c r="G880">
        <v>4.3</v>
      </c>
      <c r="H880">
        <f>IF(MONTH(calls[[#This Row],[Date of Call]])&lt;=6, YEAR(calls[[#This Row],[Date of Call]]), YEAR(calls[[#This Row],[Date of Call]])+1)</f>
        <v>2024</v>
      </c>
      <c r="I880" t="str">
        <f>TEXT(calls[[#This Row],[Date of Call]],"DDDD")</f>
        <v>Saturday</v>
      </c>
      <c r="J880" t="str">
        <f t="array" ref="J880">_xlfn.IFS(calls[[#This Row],[Duration]]&lt;=10,"Under 10 mins", calls[[#This Row],[Duration]]&lt;=30, "10 to 30 mins", calls[[#This Row],[Duration]]&lt;=60, "30 to 60 mins", calls[[#This Row],[Duration]]&lt;=120, "1 to 2 hours", TRUE, "More than 2 hours")</f>
        <v>More than 2 hours</v>
      </c>
      <c r="K880">
        <f>ROUND(calls[[#This Row],[Satisfaction Rating]],0)</f>
        <v>4</v>
      </c>
    </row>
    <row r="881" spans="1:11" ht="13.8" x14ac:dyDescent="0.25">
      <c r="A881" t="s">
        <v>910</v>
      </c>
      <c r="B881" t="s">
        <v>35</v>
      </c>
      <c r="C881">
        <v>64</v>
      </c>
      <c r="D881" s="4" t="s">
        <v>23</v>
      </c>
      <c r="E881" s="5">
        <v>45227</v>
      </c>
      <c r="F881">
        <v>185</v>
      </c>
      <c r="G881">
        <v>2.2000000000000002</v>
      </c>
      <c r="H881">
        <f>IF(MONTH(calls[[#This Row],[Date of Call]])&lt;=6, YEAR(calls[[#This Row],[Date of Call]]), YEAR(calls[[#This Row],[Date of Call]])+1)</f>
        <v>2024</v>
      </c>
      <c r="I881" t="str">
        <f>TEXT(calls[[#This Row],[Date of Call]],"DDDD")</f>
        <v>Saturday</v>
      </c>
      <c r="J881" t="str">
        <f t="array" ref="J881">_xlfn.IFS(calls[[#This Row],[Duration]]&lt;=10,"Under 10 mins", calls[[#This Row],[Duration]]&lt;=30, "10 to 30 mins", calls[[#This Row],[Duration]]&lt;=60, "30 to 60 mins", calls[[#This Row],[Duration]]&lt;=120, "1 to 2 hours", TRUE, "More than 2 hours")</f>
        <v>1 to 2 hours</v>
      </c>
      <c r="K881">
        <f>ROUND(calls[[#This Row],[Satisfaction Rating]],0)</f>
        <v>2</v>
      </c>
    </row>
    <row r="882" spans="1:11" ht="13.8" x14ac:dyDescent="0.25">
      <c r="A882" t="s">
        <v>911</v>
      </c>
      <c r="B882" t="s">
        <v>35</v>
      </c>
      <c r="C882">
        <v>69</v>
      </c>
      <c r="D882" s="4" t="s">
        <v>23</v>
      </c>
      <c r="E882" s="5">
        <v>45227</v>
      </c>
      <c r="F882">
        <v>40</v>
      </c>
      <c r="G882">
        <v>4.8</v>
      </c>
      <c r="H882">
        <f>IF(MONTH(calls[[#This Row],[Date of Call]])&lt;=6, YEAR(calls[[#This Row],[Date of Call]]), YEAR(calls[[#This Row],[Date of Call]])+1)</f>
        <v>2024</v>
      </c>
      <c r="I882" t="str">
        <f>TEXT(calls[[#This Row],[Date of Call]],"DDDD")</f>
        <v>Saturday</v>
      </c>
      <c r="J882" t="str">
        <f t="array" ref="J882">_xlfn.IFS(calls[[#This Row],[Duration]]&lt;=10,"Under 10 mins", calls[[#This Row],[Duration]]&lt;=30, "10 to 30 mins", calls[[#This Row],[Duration]]&lt;=60, "30 to 60 mins", calls[[#This Row],[Duration]]&lt;=120, "1 to 2 hours", TRUE, "More than 2 hours")</f>
        <v>1 to 2 hours</v>
      </c>
      <c r="K882">
        <f>ROUND(calls[[#This Row],[Satisfaction Rating]],0)</f>
        <v>5</v>
      </c>
    </row>
    <row r="883" spans="1:11" ht="13.8" x14ac:dyDescent="0.25">
      <c r="A883" t="s">
        <v>912</v>
      </c>
      <c r="B883" t="s">
        <v>35</v>
      </c>
      <c r="C883">
        <v>18</v>
      </c>
      <c r="D883" s="4" t="s">
        <v>32</v>
      </c>
      <c r="E883" s="5">
        <v>45227</v>
      </c>
      <c r="F883">
        <v>225</v>
      </c>
      <c r="G883">
        <v>2.6</v>
      </c>
      <c r="H883">
        <f>IF(MONTH(calls[[#This Row],[Date of Call]])&lt;=6, YEAR(calls[[#This Row],[Date of Call]]), YEAR(calls[[#This Row],[Date of Call]])+1)</f>
        <v>2024</v>
      </c>
      <c r="I883" t="str">
        <f>TEXT(calls[[#This Row],[Date of Call]],"DDDD")</f>
        <v>Saturday</v>
      </c>
      <c r="J883" t="str">
        <f t="array" ref="J883">_xlfn.IFS(calls[[#This Row],[Duration]]&lt;=10,"Under 10 mins", calls[[#This Row],[Duration]]&lt;=30, "10 to 30 mins", calls[[#This Row],[Duration]]&lt;=60, "30 to 60 mins", calls[[#This Row],[Duration]]&lt;=120, "1 to 2 hours", TRUE, "More than 2 hours")</f>
        <v>10 to 30 mins</v>
      </c>
      <c r="K883">
        <f>ROUND(calls[[#This Row],[Satisfaction Rating]],0)</f>
        <v>3</v>
      </c>
    </row>
    <row r="884" spans="1:11" ht="13.8" x14ac:dyDescent="0.25">
      <c r="A884" t="s">
        <v>913</v>
      </c>
      <c r="B884" t="s">
        <v>20</v>
      </c>
      <c r="C884">
        <v>100</v>
      </c>
      <c r="D884" s="4" t="s">
        <v>28</v>
      </c>
      <c r="E884" s="5">
        <v>45227</v>
      </c>
      <c r="F884">
        <v>150</v>
      </c>
      <c r="G884">
        <v>2.6</v>
      </c>
      <c r="H884">
        <f>IF(MONTH(calls[[#This Row],[Date of Call]])&lt;=6, YEAR(calls[[#This Row],[Date of Call]]), YEAR(calls[[#This Row],[Date of Call]])+1)</f>
        <v>2024</v>
      </c>
      <c r="I884" t="str">
        <f>TEXT(calls[[#This Row],[Date of Call]],"DDDD")</f>
        <v>Saturday</v>
      </c>
      <c r="J884" t="str">
        <f t="array" ref="J884">_xlfn.IFS(calls[[#This Row],[Duration]]&lt;=10,"Under 10 mins", calls[[#This Row],[Duration]]&lt;=30, "10 to 30 mins", calls[[#This Row],[Duration]]&lt;=60, "30 to 60 mins", calls[[#This Row],[Duration]]&lt;=120, "1 to 2 hours", TRUE, "More than 2 hours")</f>
        <v>1 to 2 hours</v>
      </c>
      <c r="K884">
        <f>ROUND(calls[[#This Row],[Satisfaction Rating]],0)</f>
        <v>3</v>
      </c>
    </row>
    <row r="885" spans="1:11" ht="13.8" x14ac:dyDescent="0.25">
      <c r="A885" t="s">
        <v>914</v>
      </c>
      <c r="B885" t="s">
        <v>31</v>
      </c>
      <c r="C885">
        <v>110</v>
      </c>
      <c r="D885" s="4" t="s">
        <v>18</v>
      </c>
      <c r="E885" s="5">
        <v>45228</v>
      </c>
      <c r="F885">
        <v>88</v>
      </c>
      <c r="G885">
        <v>3.4</v>
      </c>
      <c r="H885">
        <f>IF(MONTH(calls[[#This Row],[Date of Call]])&lt;=6, YEAR(calls[[#This Row],[Date of Call]]), YEAR(calls[[#This Row],[Date of Call]])+1)</f>
        <v>2024</v>
      </c>
      <c r="I885" t="str">
        <f>TEXT(calls[[#This Row],[Date of Call]],"DDDD")</f>
        <v>Sunday</v>
      </c>
      <c r="J885" t="str">
        <f t="array" ref="J885">_xlfn.IFS(calls[[#This Row],[Duration]]&lt;=10,"Under 10 mins", calls[[#This Row],[Duration]]&lt;=30, "10 to 30 mins", calls[[#This Row],[Duration]]&lt;=60, "30 to 60 mins", calls[[#This Row],[Duration]]&lt;=120, "1 to 2 hours", TRUE, "More than 2 hours")</f>
        <v>1 to 2 hours</v>
      </c>
      <c r="K885">
        <f>ROUND(calls[[#This Row],[Satisfaction Rating]],0)</f>
        <v>3</v>
      </c>
    </row>
    <row r="886" spans="1:11" ht="13.8" x14ac:dyDescent="0.25">
      <c r="A886" t="s">
        <v>915</v>
      </c>
      <c r="B886" t="s">
        <v>46</v>
      </c>
      <c r="C886">
        <v>41</v>
      </c>
      <c r="D886" s="4" t="s">
        <v>13</v>
      </c>
      <c r="E886" s="5">
        <v>45228</v>
      </c>
      <c r="F886">
        <v>140</v>
      </c>
      <c r="G886">
        <v>3.7</v>
      </c>
      <c r="H886">
        <f>IF(MONTH(calls[[#This Row],[Date of Call]])&lt;=6, YEAR(calls[[#This Row],[Date of Call]]), YEAR(calls[[#This Row],[Date of Call]])+1)</f>
        <v>2024</v>
      </c>
      <c r="I886" t="str">
        <f>TEXT(calls[[#This Row],[Date of Call]],"DDDD")</f>
        <v>Sunday</v>
      </c>
      <c r="J886" t="str">
        <f t="array" ref="J886">_xlfn.IFS(calls[[#This Row],[Duration]]&lt;=10,"Under 10 mins", calls[[#This Row],[Duration]]&lt;=30, "10 to 30 mins", calls[[#This Row],[Duration]]&lt;=60, "30 to 60 mins", calls[[#This Row],[Duration]]&lt;=120, "1 to 2 hours", TRUE, "More than 2 hours")</f>
        <v>30 to 60 mins</v>
      </c>
      <c r="K886">
        <f>ROUND(calls[[#This Row],[Satisfaction Rating]],0)</f>
        <v>4</v>
      </c>
    </row>
    <row r="887" spans="1:11" ht="13.8" x14ac:dyDescent="0.25">
      <c r="A887" t="s">
        <v>916</v>
      </c>
      <c r="B887" t="s">
        <v>31</v>
      </c>
      <c r="C887">
        <v>147</v>
      </c>
      <c r="D887" s="4" t="s">
        <v>18</v>
      </c>
      <c r="E887" s="5">
        <v>45228</v>
      </c>
      <c r="F887">
        <v>68</v>
      </c>
      <c r="G887">
        <v>2.1</v>
      </c>
      <c r="H887">
        <f>IF(MONTH(calls[[#This Row],[Date of Call]])&lt;=6, YEAR(calls[[#This Row],[Date of Call]]), YEAR(calls[[#This Row],[Date of Call]])+1)</f>
        <v>2024</v>
      </c>
      <c r="I887" t="str">
        <f>TEXT(calls[[#This Row],[Date of Call]],"DDDD")</f>
        <v>Sunday</v>
      </c>
      <c r="J887" t="str">
        <f t="array" ref="J887">_xlfn.IFS(calls[[#This Row],[Duration]]&lt;=10,"Under 10 mins", calls[[#This Row],[Duration]]&lt;=30, "10 to 30 mins", calls[[#This Row],[Duration]]&lt;=60, "30 to 60 mins", calls[[#This Row],[Duration]]&lt;=120, "1 to 2 hours", TRUE, "More than 2 hours")</f>
        <v>More than 2 hours</v>
      </c>
      <c r="K887">
        <f>ROUND(calls[[#This Row],[Satisfaction Rating]],0)</f>
        <v>2</v>
      </c>
    </row>
    <row r="888" spans="1:11" ht="13.8" x14ac:dyDescent="0.25">
      <c r="A888" t="s">
        <v>917</v>
      </c>
      <c r="B888" t="s">
        <v>15</v>
      </c>
      <c r="C888">
        <v>31</v>
      </c>
      <c r="D888" s="4" t="s">
        <v>32</v>
      </c>
      <c r="E888" s="5">
        <v>45229</v>
      </c>
      <c r="F888">
        <v>105</v>
      </c>
      <c r="G888">
        <v>3.6</v>
      </c>
      <c r="H888">
        <f>IF(MONTH(calls[[#This Row],[Date of Call]])&lt;=6, YEAR(calls[[#This Row],[Date of Call]]), YEAR(calls[[#This Row],[Date of Call]])+1)</f>
        <v>2024</v>
      </c>
      <c r="I888" t="str">
        <f>TEXT(calls[[#This Row],[Date of Call]],"DDDD")</f>
        <v>Monday</v>
      </c>
      <c r="J888" t="str">
        <f t="array" ref="J888">_xlfn.IFS(calls[[#This Row],[Duration]]&lt;=10,"Under 10 mins", calls[[#This Row],[Duration]]&lt;=30, "10 to 30 mins", calls[[#This Row],[Duration]]&lt;=60, "30 to 60 mins", calls[[#This Row],[Duration]]&lt;=120, "1 to 2 hours", TRUE, "More than 2 hours")</f>
        <v>30 to 60 mins</v>
      </c>
      <c r="K888">
        <f>ROUND(calls[[#This Row],[Satisfaction Rating]],0)</f>
        <v>4</v>
      </c>
    </row>
    <row r="889" spans="1:11" ht="13.8" x14ac:dyDescent="0.25">
      <c r="A889" t="s">
        <v>918</v>
      </c>
      <c r="B889" t="s">
        <v>64</v>
      </c>
      <c r="C889">
        <v>142</v>
      </c>
      <c r="D889" s="4" t="s">
        <v>13</v>
      </c>
      <c r="E889" s="5">
        <v>45229</v>
      </c>
      <c r="F889">
        <v>40</v>
      </c>
      <c r="G889">
        <v>3.8</v>
      </c>
      <c r="H889">
        <f>IF(MONTH(calls[[#This Row],[Date of Call]])&lt;=6, YEAR(calls[[#This Row],[Date of Call]]), YEAR(calls[[#This Row],[Date of Call]])+1)</f>
        <v>2024</v>
      </c>
      <c r="I889" t="str">
        <f>TEXT(calls[[#This Row],[Date of Call]],"DDDD")</f>
        <v>Monday</v>
      </c>
      <c r="J889" t="str">
        <f t="array" ref="J889">_xlfn.IFS(calls[[#This Row],[Duration]]&lt;=10,"Under 10 mins", calls[[#This Row],[Duration]]&lt;=30, "10 to 30 mins", calls[[#This Row],[Duration]]&lt;=60, "30 to 60 mins", calls[[#This Row],[Duration]]&lt;=120, "1 to 2 hours", TRUE, "More than 2 hours")</f>
        <v>More than 2 hours</v>
      </c>
      <c r="K889">
        <f>ROUND(calls[[#This Row],[Satisfaction Rating]],0)</f>
        <v>4</v>
      </c>
    </row>
    <row r="890" spans="1:11" ht="13.8" x14ac:dyDescent="0.25">
      <c r="A890" t="s">
        <v>919</v>
      </c>
      <c r="B890" t="s">
        <v>43</v>
      </c>
      <c r="C890">
        <v>61</v>
      </c>
      <c r="D890" s="4" t="s">
        <v>13</v>
      </c>
      <c r="E890" s="5">
        <v>45229</v>
      </c>
      <c r="F890">
        <v>82</v>
      </c>
      <c r="G890">
        <v>3.1</v>
      </c>
      <c r="H890">
        <f>IF(MONTH(calls[[#This Row],[Date of Call]])&lt;=6, YEAR(calls[[#This Row],[Date of Call]]), YEAR(calls[[#This Row],[Date of Call]])+1)</f>
        <v>2024</v>
      </c>
      <c r="I890" t="str">
        <f>TEXT(calls[[#This Row],[Date of Call]],"DDDD")</f>
        <v>Monday</v>
      </c>
      <c r="J890" t="str">
        <f t="array" ref="J890">_xlfn.IFS(calls[[#This Row],[Duration]]&lt;=10,"Under 10 mins", calls[[#This Row],[Duration]]&lt;=30, "10 to 30 mins", calls[[#This Row],[Duration]]&lt;=60, "30 to 60 mins", calls[[#This Row],[Duration]]&lt;=120, "1 to 2 hours", TRUE, "More than 2 hours")</f>
        <v>1 to 2 hours</v>
      </c>
      <c r="K890">
        <f>ROUND(calls[[#This Row],[Satisfaction Rating]],0)</f>
        <v>3</v>
      </c>
    </row>
    <row r="891" spans="1:11" ht="13.8" x14ac:dyDescent="0.25">
      <c r="A891" t="s">
        <v>920</v>
      </c>
      <c r="B891" t="s">
        <v>12</v>
      </c>
      <c r="C891">
        <v>86</v>
      </c>
      <c r="D891" s="4" t="s">
        <v>32</v>
      </c>
      <c r="E891" s="5">
        <v>45230</v>
      </c>
      <c r="F891">
        <v>90</v>
      </c>
      <c r="G891">
        <v>4.4000000000000004</v>
      </c>
      <c r="H891">
        <f>IF(MONTH(calls[[#This Row],[Date of Call]])&lt;=6, YEAR(calls[[#This Row],[Date of Call]]), YEAR(calls[[#This Row],[Date of Call]])+1)</f>
        <v>2024</v>
      </c>
      <c r="I891" t="str">
        <f>TEXT(calls[[#This Row],[Date of Call]],"DDDD")</f>
        <v>Tuesday</v>
      </c>
      <c r="J891" t="str">
        <f t="array" ref="J891">_xlfn.IFS(calls[[#This Row],[Duration]]&lt;=10,"Under 10 mins", calls[[#This Row],[Duration]]&lt;=30, "10 to 30 mins", calls[[#This Row],[Duration]]&lt;=60, "30 to 60 mins", calls[[#This Row],[Duration]]&lt;=120, "1 to 2 hours", TRUE, "More than 2 hours")</f>
        <v>1 to 2 hours</v>
      </c>
      <c r="K891">
        <f>ROUND(calls[[#This Row],[Satisfaction Rating]],0)</f>
        <v>4</v>
      </c>
    </row>
    <row r="892" spans="1:11" ht="13.8" x14ac:dyDescent="0.25">
      <c r="A892" t="s">
        <v>921</v>
      </c>
      <c r="B892" t="s">
        <v>17</v>
      </c>
      <c r="C892">
        <v>165</v>
      </c>
      <c r="D892" s="4" t="s">
        <v>28</v>
      </c>
      <c r="E892" s="5">
        <v>45231</v>
      </c>
      <c r="F892">
        <v>66</v>
      </c>
      <c r="G892">
        <v>4.8</v>
      </c>
      <c r="H892">
        <f>IF(MONTH(calls[[#This Row],[Date of Call]])&lt;=6, YEAR(calls[[#This Row],[Date of Call]]), YEAR(calls[[#This Row],[Date of Call]])+1)</f>
        <v>2024</v>
      </c>
      <c r="I892" t="str">
        <f>TEXT(calls[[#This Row],[Date of Call]],"DDDD")</f>
        <v>Wednesday</v>
      </c>
      <c r="J892" t="str">
        <f t="array" ref="J892">_xlfn.IFS(calls[[#This Row],[Duration]]&lt;=10,"Under 10 mins", calls[[#This Row],[Duration]]&lt;=30, "10 to 30 mins", calls[[#This Row],[Duration]]&lt;=60, "30 to 60 mins", calls[[#This Row],[Duration]]&lt;=120, "1 to 2 hours", TRUE, "More than 2 hours")</f>
        <v>More than 2 hours</v>
      </c>
      <c r="K892">
        <f>ROUND(calls[[#This Row],[Satisfaction Rating]],0)</f>
        <v>5</v>
      </c>
    </row>
    <row r="893" spans="1:11" ht="13.8" x14ac:dyDescent="0.25">
      <c r="A893" t="s">
        <v>922</v>
      </c>
      <c r="B893" t="s">
        <v>84</v>
      </c>
      <c r="C893">
        <v>62</v>
      </c>
      <c r="D893" s="4" t="s">
        <v>18</v>
      </c>
      <c r="E893" s="5">
        <v>45231</v>
      </c>
      <c r="F893">
        <v>78</v>
      </c>
      <c r="G893">
        <v>3.5</v>
      </c>
      <c r="H893">
        <f>IF(MONTH(calls[[#This Row],[Date of Call]])&lt;=6, YEAR(calls[[#This Row],[Date of Call]]), YEAR(calls[[#This Row],[Date of Call]])+1)</f>
        <v>2024</v>
      </c>
      <c r="I893" t="str">
        <f>TEXT(calls[[#This Row],[Date of Call]],"DDDD")</f>
        <v>Wednesday</v>
      </c>
      <c r="J893" t="str">
        <f t="array" ref="J893">_xlfn.IFS(calls[[#This Row],[Duration]]&lt;=10,"Under 10 mins", calls[[#This Row],[Duration]]&lt;=30, "10 to 30 mins", calls[[#This Row],[Duration]]&lt;=60, "30 to 60 mins", calls[[#This Row],[Duration]]&lt;=120, "1 to 2 hours", TRUE, "More than 2 hours")</f>
        <v>1 to 2 hours</v>
      </c>
      <c r="K893">
        <f>ROUND(calls[[#This Row],[Satisfaction Rating]],0)</f>
        <v>4</v>
      </c>
    </row>
    <row r="894" spans="1:11" ht="13.8" x14ac:dyDescent="0.25">
      <c r="A894" t="s">
        <v>923</v>
      </c>
      <c r="B894" t="s">
        <v>20</v>
      </c>
      <c r="C894">
        <v>103</v>
      </c>
      <c r="D894" s="4" t="s">
        <v>28</v>
      </c>
      <c r="E894" s="5">
        <v>45232</v>
      </c>
      <c r="F894">
        <v>66</v>
      </c>
      <c r="G894">
        <v>4.4000000000000004</v>
      </c>
      <c r="H894">
        <f>IF(MONTH(calls[[#This Row],[Date of Call]])&lt;=6, YEAR(calls[[#This Row],[Date of Call]]), YEAR(calls[[#This Row],[Date of Call]])+1)</f>
        <v>2024</v>
      </c>
      <c r="I894" t="str">
        <f>TEXT(calls[[#This Row],[Date of Call]],"DDDD")</f>
        <v>Thursday</v>
      </c>
      <c r="J894" t="str">
        <f t="array" ref="J894">_xlfn.IFS(calls[[#This Row],[Duration]]&lt;=10,"Under 10 mins", calls[[#This Row],[Duration]]&lt;=30, "10 to 30 mins", calls[[#This Row],[Duration]]&lt;=60, "30 to 60 mins", calls[[#This Row],[Duration]]&lt;=120, "1 to 2 hours", TRUE, "More than 2 hours")</f>
        <v>1 to 2 hours</v>
      </c>
      <c r="K894">
        <f>ROUND(calls[[#This Row],[Satisfaction Rating]],0)</f>
        <v>4</v>
      </c>
    </row>
    <row r="895" spans="1:11" ht="13.8" x14ac:dyDescent="0.25">
      <c r="A895" t="s">
        <v>924</v>
      </c>
      <c r="B895" t="s">
        <v>64</v>
      </c>
      <c r="C895">
        <v>56</v>
      </c>
      <c r="D895" s="4" t="s">
        <v>32</v>
      </c>
      <c r="E895" s="5">
        <v>45233</v>
      </c>
      <c r="F895">
        <v>160</v>
      </c>
      <c r="G895">
        <v>3.8</v>
      </c>
      <c r="H895">
        <f>IF(MONTH(calls[[#This Row],[Date of Call]])&lt;=6, YEAR(calls[[#This Row],[Date of Call]]), YEAR(calls[[#This Row],[Date of Call]])+1)</f>
        <v>2024</v>
      </c>
      <c r="I895" t="str">
        <f>TEXT(calls[[#This Row],[Date of Call]],"DDDD")</f>
        <v>Friday</v>
      </c>
      <c r="J895" t="str">
        <f t="array" ref="J895">_xlfn.IFS(calls[[#This Row],[Duration]]&lt;=10,"Under 10 mins", calls[[#This Row],[Duration]]&lt;=30, "10 to 30 mins", calls[[#This Row],[Duration]]&lt;=60, "30 to 60 mins", calls[[#This Row],[Duration]]&lt;=120, "1 to 2 hours", TRUE, "More than 2 hours")</f>
        <v>30 to 60 mins</v>
      </c>
      <c r="K895">
        <f>ROUND(calls[[#This Row],[Satisfaction Rating]],0)</f>
        <v>4</v>
      </c>
    </row>
    <row r="896" spans="1:11" ht="13.8" x14ac:dyDescent="0.25">
      <c r="A896" t="s">
        <v>925</v>
      </c>
      <c r="B896" t="s">
        <v>54</v>
      </c>
      <c r="C896">
        <v>114</v>
      </c>
      <c r="D896" s="4" t="s">
        <v>13</v>
      </c>
      <c r="E896" s="5">
        <v>45234</v>
      </c>
      <c r="F896">
        <v>144</v>
      </c>
      <c r="G896">
        <v>3.8</v>
      </c>
      <c r="H896">
        <f>IF(MONTH(calls[[#This Row],[Date of Call]])&lt;=6, YEAR(calls[[#This Row],[Date of Call]]), YEAR(calls[[#This Row],[Date of Call]])+1)</f>
        <v>2024</v>
      </c>
      <c r="I896" t="str">
        <f>TEXT(calls[[#This Row],[Date of Call]],"DDDD")</f>
        <v>Saturday</v>
      </c>
      <c r="J896" t="str">
        <f t="array" ref="J896">_xlfn.IFS(calls[[#This Row],[Duration]]&lt;=10,"Under 10 mins", calls[[#This Row],[Duration]]&lt;=30, "10 to 30 mins", calls[[#This Row],[Duration]]&lt;=60, "30 to 60 mins", calls[[#This Row],[Duration]]&lt;=120, "1 to 2 hours", TRUE, "More than 2 hours")</f>
        <v>1 to 2 hours</v>
      </c>
      <c r="K896">
        <f>ROUND(calls[[#This Row],[Satisfaction Rating]],0)</f>
        <v>4</v>
      </c>
    </row>
    <row r="897" spans="1:11" ht="13.8" x14ac:dyDescent="0.25">
      <c r="A897" t="s">
        <v>926</v>
      </c>
      <c r="B897" t="s">
        <v>64</v>
      </c>
      <c r="C897">
        <v>112</v>
      </c>
      <c r="D897" s="4" t="s">
        <v>23</v>
      </c>
      <c r="E897" s="5">
        <v>45234</v>
      </c>
      <c r="F897">
        <v>200</v>
      </c>
      <c r="G897">
        <v>4.5999999999999996</v>
      </c>
      <c r="H897">
        <f>IF(MONTH(calls[[#This Row],[Date of Call]])&lt;=6, YEAR(calls[[#This Row],[Date of Call]]), YEAR(calls[[#This Row],[Date of Call]])+1)</f>
        <v>2024</v>
      </c>
      <c r="I897" t="str">
        <f>TEXT(calls[[#This Row],[Date of Call]],"DDDD")</f>
        <v>Saturday</v>
      </c>
      <c r="J897" t="str">
        <f t="array" ref="J897">_xlfn.IFS(calls[[#This Row],[Duration]]&lt;=10,"Under 10 mins", calls[[#This Row],[Duration]]&lt;=30, "10 to 30 mins", calls[[#This Row],[Duration]]&lt;=60, "30 to 60 mins", calls[[#This Row],[Duration]]&lt;=120, "1 to 2 hours", TRUE, "More than 2 hours")</f>
        <v>1 to 2 hours</v>
      </c>
      <c r="K897">
        <f>ROUND(calls[[#This Row],[Satisfaction Rating]],0)</f>
        <v>5</v>
      </c>
    </row>
    <row r="898" spans="1:11" ht="13.8" x14ac:dyDescent="0.25">
      <c r="A898" t="s">
        <v>927</v>
      </c>
      <c r="B898" t="s">
        <v>26</v>
      </c>
      <c r="C898">
        <v>52</v>
      </c>
      <c r="D898" s="4" t="s">
        <v>18</v>
      </c>
      <c r="E898" s="5">
        <v>45236</v>
      </c>
      <c r="F898">
        <v>220</v>
      </c>
      <c r="G898">
        <v>5</v>
      </c>
      <c r="H898">
        <f>IF(MONTH(calls[[#This Row],[Date of Call]])&lt;=6, YEAR(calls[[#This Row],[Date of Call]]), YEAR(calls[[#This Row],[Date of Call]])+1)</f>
        <v>2024</v>
      </c>
      <c r="I898" t="str">
        <f>TEXT(calls[[#This Row],[Date of Call]],"DDDD")</f>
        <v>Monday</v>
      </c>
      <c r="J898" t="str">
        <f t="array" ref="J898">_xlfn.IFS(calls[[#This Row],[Duration]]&lt;=10,"Under 10 mins", calls[[#This Row],[Duration]]&lt;=30, "10 to 30 mins", calls[[#This Row],[Duration]]&lt;=60, "30 to 60 mins", calls[[#This Row],[Duration]]&lt;=120, "1 to 2 hours", TRUE, "More than 2 hours")</f>
        <v>30 to 60 mins</v>
      </c>
      <c r="K898">
        <f>ROUND(calls[[#This Row],[Satisfaction Rating]],0)</f>
        <v>5</v>
      </c>
    </row>
    <row r="899" spans="1:11" ht="13.8" x14ac:dyDescent="0.25">
      <c r="A899" t="s">
        <v>928</v>
      </c>
      <c r="B899" t="s">
        <v>20</v>
      </c>
      <c r="C899">
        <v>105</v>
      </c>
      <c r="D899" s="4" t="s">
        <v>28</v>
      </c>
      <c r="E899" s="5">
        <v>45237</v>
      </c>
      <c r="F899">
        <v>112</v>
      </c>
      <c r="G899">
        <v>3.2</v>
      </c>
      <c r="H899">
        <f>IF(MONTH(calls[[#This Row],[Date of Call]])&lt;=6, YEAR(calls[[#This Row],[Date of Call]]), YEAR(calls[[#This Row],[Date of Call]])+1)</f>
        <v>2024</v>
      </c>
      <c r="I899" t="str">
        <f>TEXT(calls[[#This Row],[Date of Call]],"DDDD")</f>
        <v>Tuesday</v>
      </c>
      <c r="J899" t="str">
        <f t="array" ref="J899">_xlfn.IFS(calls[[#This Row],[Duration]]&lt;=10,"Under 10 mins", calls[[#This Row],[Duration]]&lt;=30, "10 to 30 mins", calls[[#This Row],[Duration]]&lt;=60, "30 to 60 mins", calls[[#This Row],[Duration]]&lt;=120, "1 to 2 hours", TRUE, "More than 2 hours")</f>
        <v>1 to 2 hours</v>
      </c>
      <c r="K899">
        <f>ROUND(calls[[#This Row],[Satisfaction Rating]],0)</f>
        <v>3</v>
      </c>
    </row>
    <row r="900" spans="1:11" ht="13.8" x14ac:dyDescent="0.25">
      <c r="A900" t="s">
        <v>929</v>
      </c>
      <c r="B900" t="s">
        <v>17</v>
      </c>
      <c r="C900">
        <v>91</v>
      </c>
      <c r="D900" s="4" t="s">
        <v>32</v>
      </c>
      <c r="E900" s="5">
        <v>45237</v>
      </c>
      <c r="F900">
        <v>110</v>
      </c>
      <c r="G900">
        <v>3.7</v>
      </c>
      <c r="H900">
        <f>IF(MONTH(calls[[#This Row],[Date of Call]])&lt;=6, YEAR(calls[[#This Row],[Date of Call]]), YEAR(calls[[#This Row],[Date of Call]])+1)</f>
        <v>2024</v>
      </c>
      <c r="I900" t="str">
        <f>TEXT(calls[[#This Row],[Date of Call]],"DDDD")</f>
        <v>Tuesday</v>
      </c>
      <c r="J900" t="str">
        <f t="array" ref="J900">_xlfn.IFS(calls[[#This Row],[Duration]]&lt;=10,"Under 10 mins", calls[[#This Row],[Duration]]&lt;=30, "10 to 30 mins", calls[[#This Row],[Duration]]&lt;=60, "30 to 60 mins", calls[[#This Row],[Duration]]&lt;=120, "1 to 2 hours", TRUE, "More than 2 hours")</f>
        <v>1 to 2 hours</v>
      </c>
      <c r="K900">
        <f>ROUND(calls[[#This Row],[Satisfaction Rating]],0)</f>
        <v>4</v>
      </c>
    </row>
    <row r="901" spans="1:11" ht="13.8" x14ac:dyDescent="0.25">
      <c r="A901" t="s">
        <v>930</v>
      </c>
      <c r="B901" t="s">
        <v>51</v>
      </c>
      <c r="C901">
        <v>74</v>
      </c>
      <c r="D901" s="4" t="s">
        <v>13</v>
      </c>
      <c r="E901" s="5">
        <v>45238</v>
      </c>
      <c r="F901">
        <v>160</v>
      </c>
      <c r="G901">
        <v>2.7</v>
      </c>
      <c r="H901">
        <f>IF(MONTH(calls[[#This Row],[Date of Call]])&lt;=6, YEAR(calls[[#This Row],[Date of Call]]), YEAR(calls[[#This Row],[Date of Call]])+1)</f>
        <v>2024</v>
      </c>
      <c r="I901" t="str">
        <f>TEXT(calls[[#This Row],[Date of Call]],"DDDD")</f>
        <v>Wednesday</v>
      </c>
      <c r="J901" t="str">
        <f t="array" ref="J901">_xlfn.IFS(calls[[#This Row],[Duration]]&lt;=10,"Under 10 mins", calls[[#This Row],[Duration]]&lt;=30, "10 to 30 mins", calls[[#This Row],[Duration]]&lt;=60, "30 to 60 mins", calls[[#This Row],[Duration]]&lt;=120, "1 to 2 hours", TRUE, "More than 2 hours")</f>
        <v>1 to 2 hours</v>
      </c>
      <c r="K901">
        <f>ROUND(calls[[#This Row],[Satisfaction Rating]],0)</f>
        <v>3</v>
      </c>
    </row>
    <row r="902" spans="1:11" ht="13.8" x14ac:dyDescent="0.25">
      <c r="A902" t="s">
        <v>931</v>
      </c>
      <c r="B902" t="s">
        <v>51</v>
      </c>
      <c r="C902">
        <v>30</v>
      </c>
      <c r="D902" s="4" t="s">
        <v>32</v>
      </c>
      <c r="E902" s="5">
        <v>45238</v>
      </c>
      <c r="F902">
        <v>84</v>
      </c>
      <c r="G902">
        <v>4</v>
      </c>
      <c r="H902">
        <f>IF(MONTH(calls[[#This Row],[Date of Call]])&lt;=6, YEAR(calls[[#This Row],[Date of Call]]), YEAR(calls[[#This Row],[Date of Call]])+1)</f>
        <v>2024</v>
      </c>
      <c r="I902" t="str">
        <f>TEXT(calls[[#This Row],[Date of Call]],"DDDD")</f>
        <v>Wednesday</v>
      </c>
      <c r="J902" t="str">
        <f t="array" ref="J902">_xlfn.IFS(calls[[#This Row],[Duration]]&lt;=10,"Under 10 mins", calls[[#This Row],[Duration]]&lt;=30, "10 to 30 mins", calls[[#This Row],[Duration]]&lt;=60, "30 to 60 mins", calls[[#This Row],[Duration]]&lt;=120, "1 to 2 hours", TRUE, "More than 2 hours")</f>
        <v>10 to 30 mins</v>
      </c>
      <c r="K902">
        <f>ROUND(calls[[#This Row],[Satisfaction Rating]],0)</f>
        <v>4</v>
      </c>
    </row>
    <row r="903" spans="1:11" ht="13.8" x14ac:dyDescent="0.25">
      <c r="A903" t="s">
        <v>932</v>
      </c>
      <c r="B903" t="s">
        <v>17</v>
      </c>
      <c r="C903">
        <v>56</v>
      </c>
      <c r="D903" s="4" t="s">
        <v>18</v>
      </c>
      <c r="E903" s="5">
        <v>45238</v>
      </c>
      <c r="F903">
        <v>124</v>
      </c>
      <c r="G903">
        <v>2.6</v>
      </c>
      <c r="H903">
        <f>IF(MONTH(calls[[#This Row],[Date of Call]])&lt;=6, YEAR(calls[[#This Row],[Date of Call]]), YEAR(calls[[#This Row],[Date of Call]])+1)</f>
        <v>2024</v>
      </c>
      <c r="I903" t="str">
        <f>TEXT(calls[[#This Row],[Date of Call]],"DDDD")</f>
        <v>Wednesday</v>
      </c>
      <c r="J903" t="str">
        <f t="array" ref="J903">_xlfn.IFS(calls[[#This Row],[Duration]]&lt;=10,"Under 10 mins", calls[[#This Row],[Duration]]&lt;=30, "10 to 30 mins", calls[[#This Row],[Duration]]&lt;=60, "30 to 60 mins", calls[[#This Row],[Duration]]&lt;=120, "1 to 2 hours", TRUE, "More than 2 hours")</f>
        <v>30 to 60 mins</v>
      </c>
      <c r="K903">
        <f>ROUND(calls[[#This Row],[Satisfaction Rating]],0)</f>
        <v>3</v>
      </c>
    </row>
    <row r="904" spans="1:11" ht="13.8" x14ac:dyDescent="0.25">
      <c r="A904" t="s">
        <v>933</v>
      </c>
      <c r="B904" t="s">
        <v>51</v>
      </c>
      <c r="C904">
        <v>151</v>
      </c>
      <c r="D904" s="4" t="s">
        <v>23</v>
      </c>
      <c r="E904" s="5">
        <v>45238</v>
      </c>
      <c r="F904">
        <v>84</v>
      </c>
      <c r="G904">
        <v>4.5999999999999996</v>
      </c>
      <c r="H904">
        <f>IF(MONTH(calls[[#This Row],[Date of Call]])&lt;=6, YEAR(calls[[#This Row],[Date of Call]]), YEAR(calls[[#This Row],[Date of Call]])+1)</f>
        <v>2024</v>
      </c>
      <c r="I904" t="str">
        <f>TEXT(calls[[#This Row],[Date of Call]],"DDDD")</f>
        <v>Wednesday</v>
      </c>
      <c r="J904" t="str">
        <f t="array" ref="J904">_xlfn.IFS(calls[[#This Row],[Duration]]&lt;=10,"Under 10 mins", calls[[#This Row],[Duration]]&lt;=30, "10 to 30 mins", calls[[#This Row],[Duration]]&lt;=60, "30 to 60 mins", calls[[#This Row],[Duration]]&lt;=120, "1 to 2 hours", TRUE, "More than 2 hours")</f>
        <v>More than 2 hours</v>
      </c>
      <c r="K904">
        <f>ROUND(calls[[#This Row],[Satisfaction Rating]],0)</f>
        <v>5</v>
      </c>
    </row>
    <row r="905" spans="1:11" ht="13.8" x14ac:dyDescent="0.25">
      <c r="A905" t="s">
        <v>934</v>
      </c>
      <c r="B905" t="s">
        <v>15</v>
      </c>
      <c r="C905">
        <v>108</v>
      </c>
      <c r="D905" s="4" t="s">
        <v>28</v>
      </c>
      <c r="E905" s="5">
        <v>45239</v>
      </c>
      <c r="F905">
        <v>130</v>
      </c>
      <c r="G905">
        <v>2.7</v>
      </c>
      <c r="H905">
        <f>IF(MONTH(calls[[#This Row],[Date of Call]])&lt;=6, YEAR(calls[[#This Row],[Date of Call]]), YEAR(calls[[#This Row],[Date of Call]])+1)</f>
        <v>2024</v>
      </c>
      <c r="I905" t="str">
        <f>TEXT(calls[[#This Row],[Date of Call]],"DDDD")</f>
        <v>Thursday</v>
      </c>
      <c r="J905" t="str">
        <f t="array" ref="J905">_xlfn.IFS(calls[[#This Row],[Duration]]&lt;=10,"Under 10 mins", calls[[#This Row],[Duration]]&lt;=30, "10 to 30 mins", calls[[#This Row],[Duration]]&lt;=60, "30 to 60 mins", calls[[#This Row],[Duration]]&lt;=120, "1 to 2 hours", TRUE, "More than 2 hours")</f>
        <v>1 to 2 hours</v>
      </c>
      <c r="K905">
        <f>ROUND(calls[[#This Row],[Satisfaction Rating]],0)</f>
        <v>3</v>
      </c>
    </row>
    <row r="906" spans="1:11" ht="13.8" x14ac:dyDescent="0.25">
      <c r="A906" t="s">
        <v>935</v>
      </c>
      <c r="B906" t="s">
        <v>54</v>
      </c>
      <c r="C906">
        <v>124</v>
      </c>
      <c r="D906" s="4" t="s">
        <v>13</v>
      </c>
      <c r="E906" s="5">
        <v>45239</v>
      </c>
      <c r="F906">
        <v>215</v>
      </c>
      <c r="G906">
        <v>3.5</v>
      </c>
      <c r="H906">
        <f>IF(MONTH(calls[[#This Row],[Date of Call]])&lt;=6, YEAR(calls[[#This Row],[Date of Call]]), YEAR(calls[[#This Row],[Date of Call]])+1)</f>
        <v>2024</v>
      </c>
      <c r="I906" t="str">
        <f>TEXT(calls[[#This Row],[Date of Call]],"DDDD")</f>
        <v>Thursday</v>
      </c>
      <c r="J906" t="str">
        <f t="array" ref="J906">_xlfn.IFS(calls[[#This Row],[Duration]]&lt;=10,"Under 10 mins", calls[[#This Row],[Duration]]&lt;=30, "10 to 30 mins", calls[[#This Row],[Duration]]&lt;=60, "30 to 60 mins", calls[[#This Row],[Duration]]&lt;=120, "1 to 2 hours", TRUE, "More than 2 hours")</f>
        <v>More than 2 hours</v>
      </c>
      <c r="K906">
        <f>ROUND(calls[[#This Row],[Satisfaction Rating]],0)</f>
        <v>4</v>
      </c>
    </row>
    <row r="907" spans="1:11" ht="13.8" x14ac:dyDescent="0.25">
      <c r="A907" t="s">
        <v>936</v>
      </c>
      <c r="B907" t="s">
        <v>20</v>
      </c>
      <c r="C907">
        <v>110</v>
      </c>
      <c r="D907" s="4" t="s">
        <v>18</v>
      </c>
      <c r="E907" s="5">
        <v>45240</v>
      </c>
      <c r="F907">
        <v>132</v>
      </c>
      <c r="G907">
        <v>3.6</v>
      </c>
      <c r="H907">
        <f>IF(MONTH(calls[[#This Row],[Date of Call]])&lt;=6, YEAR(calls[[#This Row],[Date of Call]]), YEAR(calls[[#This Row],[Date of Call]])+1)</f>
        <v>2024</v>
      </c>
      <c r="I907" t="str">
        <f>TEXT(calls[[#This Row],[Date of Call]],"DDDD")</f>
        <v>Friday</v>
      </c>
      <c r="J907" t="str">
        <f t="array" ref="J907">_xlfn.IFS(calls[[#This Row],[Duration]]&lt;=10,"Under 10 mins", calls[[#This Row],[Duration]]&lt;=30, "10 to 30 mins", calls[[#This Row],[Duration]]&lt;=60, "30 to 60 mins", calls[[#This Row],[Duration]]&lt;=120, "1 to 2 hours", TRUE, "More than 2 hours")</f>
        <v>1 to 2 hours</v>
      </c>
      <c r="K907">
        <f>ROUND(calls[[#This Row],[Satisfaction Rating]],0)</f>
        <v>4</v>
      </c>
    </row>
    <row r="908" spans="1:11" ht="13.8" x14ac:dyDescent="0.25">
      <c r="A908" t="s">
        <v>937</v>
      </c>
      <c r="B908" t="s">
        <v>31</v>
      </c>
      <c r="C908">
        <v>89</v>
      </c>
      <c r="D908" s="4" t="s">
        <v>28</v>
      </c>
      <c r="E908" s="5">
        <v>45240</v>
      </c>
      <c r="F908">
        <v>88</v>
      </c>
      <c r="G908">
        <v>4.9000000000000004</v>
      </c>
      <c r="H908">
        <f>IF(MONTH(calls[[#This Row],[Date of Call]])&lt;=6, YEAR(calls[[#This Row],[Date of Call]]), YEAR(calls[[#This Row],[Date of Call]])+1)</f>
        <v>2024</v>
      </c>
      <c r="I908" t="str">
        <f>TEXT(calls[[#This Row],[Date of Call]],"DDDD")</f>
        <v>Friday</v>
      </c>
      <c r="J908" t="str">
        <f t="array" ref="J908">_xlfn.IFS(calls[[#This Row],[Duration]]&lt;=10,"Under 10 mins", calls[[#This Row],[Duration]]&lt;=30, "10 to 30 mins", calls[[#This Row],[Duration]]&lt;=60, "30 to 60 mins", calls[[#This Row],[Duration]]&lt;=120, "1 to 2 hours", TRUE, "More than 2 hours")</f>
        <v>1 to 2 hours</v>
      </c>
      <c r="K908">
        <f>ROUND(calls[[#This Row],[Satisfaction Rating]],0)</f>
        <v>5</v>
      </c>
    </row>
    <row r="909" spans="1:11" ht="13.8" x14ac:dyDescent="0.25">
      <c r="A909" t="s">
        <v>938</v>
      </c>
      <c r="B909" t="s">
        <v>12</v>
      </c>
      <c r="C909">
        <v>95</v>
      </c>
      <c r="D909" s="4" t="s">
        <v>18</v>
      </c>
      <c r="E909" s="5">
        <v>45240</v>
      </c>
      <c r="F909">
        <v>140</v>
      </c>
      <c r="G909">
        <v>3.9</v>
      </c>
      <c r="H909">
        <f>IF(MONTH(calls[[#This Row],[Date of Call]])&lt;=6, YEAR(calls[[#This Row],[Date of Call]]), YEAR(calls[[#This Row],[Date of Call]])+1)</f>
        <v>2024</v>
      </c>
      <c r="I909" t="str">
        <f>TEXT(calls[[#This Row],[Date of Call]],"DDDD")</f>
        <v>Friday</v>
      </c>
      <c r="J909" t="str">
        <f t="array" ref="J909">_xlfn.IFS(calls[[#This Row],[Duration]]&lt;=10,"Under 10 mins", calls[[#This Row],[Duration]]&lt;=30, "10 to 30 mins", calls[[#This Row],[Duration]]&lt;=60, "30 to 60 mins", calls[[#This Row],[Duration]]&lt;=120, "1 to 2 hours", TRUE, "More than 2 hours")</f>
        <v>1 to 2 hours</v>
      </c>
      <c r="K909">
        <f>ROUND(calls[[#This Row],[Satisfaction Rating]],0)</f>
        <v>4</v>
      </c>
    </row>
    <row r="910" spans="1:11" ht="13.8" x14ac:dyDescent="0.25">
      <c r="A910" t="s">
        <v>939</v>
      </c>
      <c r="B910" t="s">
        <v>51</v>
      </c>
      <c r="C910">
        <v>84</v>
      </c>
      <c r="D910" s="4" t="s">
        <v>28</v>
      </c>
      <c r="E910" s="5">
        <v>45241</v>
      </c>
      <c r="F910">
        <v>66</v>
      </c>
      <c r="G910">
        <v>4.7</v>
      </c>
      <c r="H910">
        <f>IF(MONTH(calls[[#This Row],[Date of Call]])&lt;=6, YEAR(calls[[#This Row],[Date of Call]]), YEAR(calls[[#This Row],[Date of Call]])+1)</f>
        <v>2024</v>
      </c>
      <c r="I910" t="str">
        <f>TEXT(calls[[#This Row],[Date of Call]],"DDDD")</f>
        <v>Saturday</v>
      </c>
      <c r="J910" t="str">
        <f t="array" ref="J910">_xlfn.IFS(calls[[#This Row],[Duration]]&lt;=10,"Under 10 mins", calls[[#This Row],[Duration]]&lt;=30, "10 to 30 mins", calls[[#This Row],[Duration]]&lt;=60, "30 to 60 mins", calls[[#This Row],[Duration]]&lt;=120, "1 to 2 hours", TRUE, "More than 2 hours")</f>
        <v>1 to 2 hours</v>
      </c>
      <c r="K910">
        <f>ROUND(calls[[#This Row],[Satisfaction Rating]],0)</f>
        <v>5</v>
      </c>
    </row>
    <row r="911" spans="1:11" ht="13.8" x14ac:dyDescent="0.25">
      <c r="A911" t="s">
        <v>940</v>
      </c>
      <c r="B911" t="s">
        <v>37</v>
      </c>
      <c r="C911">
        <v>89</v>
      </c>
      <c r="D911" s="4" t="s">
        <v>13</v>
      </c>
      <c r="E911" s="5">
        <v>45241</v>
      </c>
      <c r="F911">
        <v>23</v>
      </c>
      <c r="G911">
        <v>4.5</v>
      </c>
      <c r="H911">
        <f>IF(MONTH(calls[[#This Row],[Date of Call]])&lt;=6, YEAR(calls[[#This Row],[Date of Call]]), YEAR(calls[[#This Row],[Date of Call]])+1)</f>
        <v>2024</v>
      </c>
      <c r="I911" t="str">
        <f>TEXT(calls[[#This Row],[Date of Call]],"DDDD")</f>
        <v>Saturday</v>
      </c>
      <c r="J911" t="str">
        <f t="array" ref="J911">_xlfn.IFS(calls[[#This Row],[Duration]]&lt;=10,"Under 10 mins", calls[[#This Row],[Duration]]&lt;=30, "10 to 30 mins", calls[[#This Row],[Duration]]&lt;=60, "30 to 60 mins", calls[[#This Row],[Duration]]&lt;=120, "1 to 2 hours", TRUE, "More than 2 hours")</f>
        <v>1 to 2 hours</v>
      </c>
      <c r="K911">
        <f>ROUND(calls[[#This Row],[Satisfaction Rating]],0)</f>
        <v>5</v>
      </c>
    </row>
    <row r="912" spans="1:11" ht="13.8" x14ac:dyDescent="0.25">
      <c r="A912" t="s">
        <v>941</v>
      </c>
      <c r="B912" t="s">
        <v>31</v>
      </c>
      <c r="C912">
        <v>146</v>
      </c>
      <c r="D912" s="4" t="s">
        <v>13</v>
      </c>
      <c r="E912" s="5">
        <v>45242</v>
      </c>
      <c r="F912">
        <v>220</v>
      </c>
      <c r="G912">
        <v>4.5</v>
      </c>
      <c r="H912">
        <f>IF(MONTH(calls[[#This Row],[Date of Call]])&lt;=6, YEAR(calls[[#This Row],[Date of Call]]), YEAR(calls[[#This Row],[Date of Call]])+1)</f>
        <v>2024</v>
      </c>
      <c r="I912" t="str">
        <f>TEXT(calls[[#This Row],[Date of Call]],"DDDD")</f>
        <v>Sunday</v>
      </c>
      <c r="J912" t="str">
        <f t="array" ref="J912">_xlfn.IFS(calls[[#This Row],[Duration]]&lt;=10,"Under 10 mins", calls[[#This Row],[Duration]]&lt;=30, "10 to 30 mins", calls[[#This Row],[Duration]]&lt;=60, "30 to 60 mins", calls[[#This Row],[Duration]]&lt;=120, "1 to 2 hours", TRUE, "More than 2 hours")</f>
        <v>More than 2 hours</v>
      </c>
      <c r="K912">
        <f>ROUND(calls[[#This Row],[Satisfaction Rating]],0)</f>
        <v>5</v>
      </c>
    </row>
    <row r="913" spans="1:11" ht="13.8" x14ac:dyDescent="0.25">
      <c r="A913" t="s">
        <v>942</v>
      </c>
      <c r="B913" t="s">
        <v>35</v>
      </c>
      <c r="C913">
        <v>62</v>
      </c>
      <c r="D913" s="4" t="s">
        <v>32</v>
      </c>
      <c r="E913" s="5">
        <v>45243</v>
      </c>
      <c r="F913">
        <v>175</v>
      </c>
      <c r="G913">
        <v>4.4000000000000004</v>
      </c>
      <c r="H913">
        <f>IF(MONTH(calls[[#This Row],[Date of Call]])&lt;=6, YEAR(calls[[#This Row],[Date of Call]]), YEAR(calls[[#This Row],[Date of Call]])+1)</f>
        <v>2024</v>
      </c>
      <c r="I913" t="str">
        <f>TEXT(calls[[#This Row],[Date of Call]],"DDDD")</f>
        <v>Monday</v>
      </c>
      <c r="J913" t="str">
        <f t="array" ref="J913">_xlfn.IFS(calls[[#This Row],[Duration]]&lt;=10,"Under 10 mins", calls[[#This Row],[Duration]]&lt;=30, "10 to 30 mins", calls[[#This Row],[Duration]]&lt;=60, "30 to 60 mins", calls[[#This Row],[Duration]]&lt;=120, "1 to 2 hours", TRUE, "More than 2 hours")</f>
        <v>1 to 2 hours</v>
      </c>
      <c r="K913">
        <f>ROUND(calls[[#This Row],[Satisfaction Rating]],0)</f>
        <v>4</v>
      </c>
    </row>
    <row r="914" spans="1:11" ht="13.8" x14ac:dyDescent="0.25">
      <c r="A914" t="s">
        <v>943</v>
      </c>
      <c r="B914" t="s">
        <v>64</v>
      </c>
      <c r="C914">
        <v>82</v>
      </c>
      <c r="D914" s="4" t="s">
        <v>13</v>
      </c>
      <c r="E914" s="5">
        <v>45243</v>
      </c>
      <c r="F914">
        <v>172</v>
      </c>
      <c r="G914">
        <v>4.0999999999999996</v>
      </c>
      <c r="H914">
        <f>IF(MONTH(calls[[#This Row],[Date of Call]])&lt;=6, YEAR(calls[[#This Row],[Date of Call]]), YEAR(calls[[#This Row],[Date of Call]])+1)</f>
        <v>2024</v>
      </c>
      <c r="I914" t="str">
        <f>TEXT(calls[[#This Row],[Date of Call]],"DDDD")</f>
        <v>Monday</v>
      </c>
      <c r="J914" t="str">
        <f t="array" ref="J914">_xlfn.IFS(calls[[#This Row],[Duration]]&lt;=10,"Under 10 mins", calls[[#This Row],[Duration]]&lt;=30, "10 to 30 mins", calls[[#This Row],[Duration]]&lt;=60, "30 to 60 mins", calls[[#This Row],[Duration]]&lt;=120, "1 to 2 hours", TRUE, "More than 2 hours")</f>
        <v>1 to 2 hours</v>
      </c>
      <c r="K914">
        <f>ROUND(calls[[#This Row],[Satisfaction Rating]],0)</f>
        <v>4</v>
      </c>
    </row>
    <row r="915" spans="1:11" ht="13.8" x14ac:dyDescent="0.25">
      <c r="A915" t="s">
        <v>944</v>
      </c>
      <c r="B915" t="s">
        <v>43</v>
      </c>
      <c r="C915">
        <v>91</v>
      </c>
      <c r="D915" s="4" t="s">
        <v>23</v>
      </c>
      <c r="E915" s="5">
        <v>45243</v>
      </c>
      <c r="F915">
        <v>108</v>
      </c>
      <c r="G915">
        <v>3.8</v>
      </c>
      <c r="H915">
        <f>IF(MONTH(calls[[#This Row],[Date of Call]])&lt;=6, YEAR(calls[[#This Row],[Date of Call]]), YEAR(calls[[#This Row],[Date of Call]])+1)</f>
        <v>2024</v>
      </c>
      <c r="I915" t="str">
        <f>TEXT(calls[[#This Row],[Date of Call]],"DDDD")</f>
        <v>Monday</v>
      </c>
      <c r="J915" t="str">
        <f t="array" ref="J915">_xlfn.IFS(calls[[#This Row],[Duration]]&lt;=10,"Under 10 mins", calls[[#This Row],[Duration]]&lt;=30, "10 to 30 mins", calls[[#This Row],[Duration]]&lt;=60, "30 to 60 mins", calls[[#This Row],[Duration]]&lt;=120, "1 to 2 hours", TRUE, "More than 2 hours")</f>
        <v>1 to 2 hours</v>
      </c>
      <c r="K915">
        <f>ROUND(calls[[#This Row],[Satisfaction Rating]],0)</f>
        <v>4</v>
      </c>
    </row>
    <row r="916" spans="1:11" ht="13.8" x14ac:dyDescent="0.25">
      <c r="A916" t="s">
        <v>945</v>
      </c>
      <c r="B916" t="s">
        <v>37</v>
      </c>
      <c r="C916">
        <v>39</v>
      </c>
      <c r="D916" s="4" t="s">
        <v>13</v>
      </c>
      <c r="E916" s="5">
        <v>45244</v>
      </c>
      <c r="F916">
        <v>43</v>
      </c>
      <c r="G916">
        <v>4.2</v>
      </c>
      <c r="H916">
        <f>IF(MONTH(calls[[#This Row],[Date of Call]])&lt;=6, YEAR(calls[[#This Row],[Date of Call]]), YEAR(calls[[#This Row],[Date of Call]])+1)</f>
        <v>2024</v>
      </c>
      <c r="I916" t="str">
        <f>TEXT(calls[[#This Row],[Date of Call]],"DDDD")</f>
        <v>Tuesday</v>
      </c>
      <c r="J916" t="str">
        <f t="array" ref="J916">_xlfn.IFS(calls[[#This Row],[Duration]]&lt;=10,"Under 10 mins", calls[[#This Row],[Duration]]&lt;=30, "10 to 30 mins", calls[[#This Row],[Duration]]&lt;=60, "30 to 60 mins", calls[[#This Row],[Duration]]&lt;=120, "1 to 2 hours", TRUE, "More than 2 hours")</f>
        <v>30 to 60 mins</v>
      </c>
      <c r="K916">
        <f>ROUND(calls[[#This Row],[Satisfaction Rating]],0)</f>
        <v>4</v>
      </c>
    </row>
    <row r="917" spans="1:11" ht="13.8" x14ac:dyDescent="0.25">
      <c r="A917" t="s">
        <v>946</v>
      </c>
      <c r="B917" t="s">
        <v>31</v>
      </c>
      <c r="C917">
        <v>149</v>
      </c>
      <c r="D917" s="4" t="s">
        <v>18</v>
      </c>
      <c r="E917" s="5">
        <v>45244</v>
      </c>
      <c r="F917">
        <v>44</v>
      </c>
      <c r="G917">
        <v>2.2000000000000002</v>
      </c>
      <c r="H917">
        <f>IF(MONTH(calls[[#This Row],[Date of Call]])&lt;=6, YEAR(calls[[#This Row],[Date of Call]]), YEAR(calls[[#This Row],[Date of Call]])+1)</f>
        <v>2024</v>
      </c>
      <c r="I917" t="str">
        <f>TEXT(calls[[#This Row],[Date of Call]],"DDDD")</f>
        <v>Tuesday</v>
      </c>
      <c r="J917" t="str">
        <f t="array" ref="J917">_xlfn.IFS(calls[[#This Row],[Duration]]&lt;=10,"Under 10 mins", calls[[#This Row],[Duration]]&lt;=30, "10 to 30 mins", calls[[#This Row],[Duration]]&lt;=60, "30 to 60 mins", calls[[#This Row],[Duration]]&lt;=120, "1 to 2 hours", TRUE, "More than 2 hours")</f>
        <v>More than 2 hours</v>
      </c>
      <c r="K917">
        <f>ROUND(calls[[#This Row],[Satisfaction Rating]],0)</f>
        <v>2</v>
      </c>
    </row>
    <row r="918" spans="1:11" ht="13.8" x14ac:dyDescent="0.25">
      <c r="A918" t="s">
        <v>947</v>
      </c>
      <c r="B918" t="s">
        <v>64</v>
      </c>
      <c r="C918">
        <v>138</v>
      </c>
      <c r="D918" s="4" t="s">
        <v>32</v>
      </c>
      <c r="E918" s="5">
        <v>45244</v>
      </c>
      <c r="F918">
        <v>105</v>
      </c>
      <c r="G918">
        <v>3.9</v>
      </c>
      <c r="H918">
        <f>IF(MONTH(calls[[#This Row],[Date of Call]])&lt;=6, YEAR(calls[[#This Row],[Date of Call]]), YEAR(calls[[#This Row],[Date of Call]])+1)</f>
        <v>2024</v>
      </c>
      <c r="I918" t="str">
        <f>TEXT(calls[[#This Row],[Date of Call]],"DDDD")</f>
        <v>Tuesday</v>
      </c>
      <c r="J918" t="str">
        <f t="array" ref="J918">_xlfn.IFS(calls[[#This Row],[Duration]]&lt;=10,"Under 10 mins", calls[[#This Row],[Duration]]&lt;=30, "10 to 30 mins", calls[[#This Row],[Duration]]&lt;=60, "30 to 60 mins", calls[[#This Row],[Duration]]&lt;=120, "1 to 2 hours", TRUE, "More than 2 hours")</f>
        <v>More than 2 hours</v>
      </c>
      <c r="K918">
        <f>ROUND(calls[[#This Row],[Satisfaction Rating]],0)</f>
        <v>4</v>
      </c>
    </row>
    <row r="919" spans="1:11" ht="13.8" x14ac:dyDescent="0.25">
      <c r="A919" t="s">
        <v>948</v>
      </c>
      <c r="B919" t="s">
        <v>35</v>
      </c>
      <c r="C919">
        <v>113</v>
      </c>
      <c r="D919" s="4" t="s">
        <v>18</v>
      </c>
      <c r="E919" s="5">
        <v>45245</v>
      </c>
      <c r="F919">
        <v>34</v>
      </c>
      <c r="G919">
        <v>3.9</v>
      </c>
      <c r="H919">
        <f>IF(MONTH(calls[[#This Row],[Date of Call]])&lt;=6, YEAR(calls[[#This Row],[Date of Call]]), YEAR(calls[[#This Row],[Date of Call]])+1)</f>
        <v>2024</v>
      </c>
      <c r="I919" t="str">
        <f>TEXT(calls[[#This Row],[Date of Call]],"DDDD")</f>
        <v>Wednesday</v>
      </c>
      <c r="J919" t="str">
        <f t="array" ref="J919">_xlfn.IFS(calls[[#This Row],[Duration]]&lt;=10,"Under 10 mins", calls[[#This Row],[Duration]]&lt;=30, "10 to 30 mins", calls[[#This Row],[Duration]]&lt;=60, "30 to 60 mins", calls[[#This Row],[Duration]]&lt;=120, "1 to 2 hours", TRUE, "More than 2 hours")</f>
        <v>1 to 2 hours</v>
      </c>
      <c r="K919">
        <f>ROUND(calls[[#This Row],[Satisfaction Rating]],0)</f>
        <v>4</v>
      </c>
    </row>
    <row r="920" spans="1:11" ht="13.8" x14ac:dyDescent="0.25">
      <c r="A920" t="s">
        <v>949</v>
      </c>
      <c r="B920" t="s">
        <v>22</v>
      </c>
      <c r="C920">
        <v>88</v>
      </c>
      <c r="D920" s="4" t="s">
        <v>13</v>
      </c>
      <c r="E920" s="5">
        <v>45245</v>
      </c>
      <c r="F920">
        <v>220</v>
      </c>
      <c r="G920">
        <v>4.0999999999999996</v>
      </c>
      <c r="H920">
        <f>IF(MONTH(calls[[#This Row],[Date of Call]])&lt;=6, YEAR(calls[[#This Row],[Date of Call]]), YEAR(calls[[#This Row],[Date of Call]])+1)</f>
        <v>2024</v>
      </c>
      <c r="I920" t="str">
        <f>TEXT(calls[[#This Row],[Date of Call]],"DDDD")</f>
        <v>Wednesday</v>
      </c>
      <c r="J920" t="str">
        <f t="array" ref="J920">_xlfn.IFS(calls[[#This Row],[Duration]]&lt;=10,"Under 10 mins", calls[[#This Row],[Duration]]&lt;=30, "10 to 30 mins", calls[[#This Row],[Duration]]&lt;=60, "30 to 60 mins", calls[[#This Row],[Duration]]&lt;=120, "1 to 2 hours", TRUE, "More than 2 hours")</f>
        <v>1 to 2 hours</v>
      </c>
      <c r="K920">
        <f>ROUND(calls[[#This Row],[Satisfaction Rating]],0)</f>
        <v>4</v>
      </c>
    </row>
    <row r="921" spans="1:11" ht="13.8" x14ac:dyDescent="0.25">
      <c r="A921" t="s">
        <v>950</v>
      </c>
      <c r="B921" t="s">
        <v>12</v>
      </c>
      <c r="C921">
        <v>64</v>
      </c>
      <c r="D921" s="4" t="s">
        <v>32</v>
      </c>
      <c r="E921" s="5">
        <v>45245</v>
      </c>
      <c r="F921">
        <v>225</v>
      </c>
      <c r="G921">
        <v>4.5999999999999996</v>
      </c>
      <c r="H921">
        <f>IF(MONTH(calls[[#This Row],[Date of Call]])&lt;=6, YEAR(calls[[#This Row],[Date of Call]]), YEAR(calls[[#This Row],[Date of Call]])+1)</f>
        <v>2024</v>
      </c>
      <c r="I921" t="str">
        <f>TEXT(calls[[#This Row],[Date of Call]],"DDDD")</f>
        <v>Wednesday</v>
      </c>
      <c r="J921" t="str">
        <f t="array" ref="J921">_xlfn.IFS(calls[[#This Row],[Duration]]&lt;=10,"Under 10 mins", calls[[#This Row],[Duration]]&lt;=30, "10 to 30 mins", calls[[#This Row],[Duration]]&lt;=60, "30 to 60 mins", calls[[#This Row],[Duration]]&lt;=120, "1 to 2 hours", TRUE, "More than 2 hours")</f>
        <v>1 to 2 hours</v>
      </c>
      <c r="K921">
        <f>ROUND(calls[[#This Row],[Satisfaction Rating]],0)</f>
        <v>5</v>
      </c>
    </row>
    <row r="922" spans="1:11" ht="13.8" x14ac:dyDescent="0.25">
      <c r="A922" t="s">
        <v>951</v>
      </c>
      <c r="B922" t="s">
        <v>17</v>
      </c>
      <c r="C922">
        <v>53</v>
      </c>
      <c r="D922" s="4" t="s">
        <v>32</v>
      </c>
      <c r="E922" s="5">
        <v>45246</v>
      </c>
      <c r="F922">
        <v>37</v>
      </c>
      <c r="G922">
        <v>4.0999999999999996</v>
      </c>
      <c r="H922">
        <f>IF(MONTH(calls[[#This Row],[Date of Call]])&lt;=6, YEAR(calls[[#This Row],[Date of Call]]), YEAR(calls[[#This Row],[Date of Call]])+1)</f>
        <v>2024</v>
      </c>
      <c r="I922" t="str">
        <f>TEXT(calls[[#This Row],[Date of Call]],"DDDD")</f>
        <v>Thursday</v>
      </c>
      <c r="J922" t="str">
        <f t="array" ref="J922">_xlfn.IFS(calls[[#This Row],[Duration]]&lt;=10,"Under 10 mins", calls[[#This Row],[Duration]]&lt;=30, "10 to 30 mins", calls[[#This Row],[Duration]]&lt;=60, "30 to 60 mins", calls[[#This Row],[Duration]]&lt;=120, "1 to 2 hours", TRUE, "More than 2 hours")</f>
        <v>30 to 60 mins</v>
      </c>
      <c r="K922">
        <f>ROUND(calls[[#This Row],[Satisfaction Rating]],0)</f>
        <v>4</v>
      </c>
    </row>
    <row r="923" spans="1:11" ht="13.8" x14ac:dyDescent="0.25">
      <c r="A923" t="s">
        <v>952</v>
      </c>
      <c r="B923" t="s">
        <v>54</v>
      </c>
      <c r="C923">
        <v>63</v>
      </c>
      <c r="D923" s="4" t="s">
        <v>18</v>
      </c>
      <c r="E923" s="5">
        <v>45246</v>
      </c>
      <c r="F923">
        <v>44</v>
      </c>
      <c r="G923">
        <v>5</v>
      </c>
      <c r="H923">
        <f>IF(MONTH(calls[[#This Row],[Date of Call]])&lt;=6, YEAR(calls[[#This Row],[Date of Call]]), YEAR(calls[[#This Row],[Date of Call]])+1)</f>
        <v>2024</v>
      </c>
      <c r="I923" t="str">
        <f>TEXT(calls[[#This Row],[Date of Call]],"DDDD")</f>
        <v>Thursday</v>
      </c>
      <c r="J923" t="str">
        <f t="array" ref="J923">_xlfn.IFS(calls[[#This Row],[Duration]]&lt;=10,"Under 10 mins", calls[[#This Row],[Duration]]&lt;=30, "10 to 30 mins", calls[[#This Row],[Duration]]&lt;=60, "30 to 60 mins", calls[[#This Row],[Duration]]&lt;=120, "1 to 2 hours", TRUE, "More than 2 hours")</f>
        <v>1 to 2 hours</v>
      </c>
      <c r="K923">
        <f>ROUND(calls[[#This Row],[Satisfaction Rating]],0)</f>
        <v>5</v>
      </c>
    </row>
    <row r="924" spans="1:11" ht="13.8" x14ac:dyDescent="0.25">
      <c r="A924" t="s">
        <v>953</v>
      </c>
      <c r="B924" t="s">
        <v>26</v>
      </c>
      <c r="C924">
        <v>54</v>
      </c>
      <c r="D924" s="4" t="s">
        <v>18</v>
      </c>
      <c r="E924" s="5">
        <v>45247</v>
      </c>
      <c r="F924">
        <v>35</v>
      </c>
      <c r="G924">
        <v>2.8</v>
      </c>
      <c r="H924">
        <f>IF(MONTH(calls[[#This Row],[Date of Call]])&lt;=6, YEAR(calls[[#This Row],[Date of Call]]), YEAR(calls[[#This Row],[Date of Call]])+1)</f>
        <v>2024</v>
      </c>
      <c r="I924" t="str">
        <f>TEXT(calls[[#This Row],[Date of Call]],"DDDD")</f>
        <v>Friday</v>
      </c>
      <c r="J924" t="str">
        <f t="array" ref="J924">_xlfn.IFS(calls[[#This Row],[Duration]]&lt;=10,"Under 10 mins", calls[[#This Row],[Duration]]&lt;=30, "10 to 30 mins", calls[[#This Row],[Duration]]&lt;=60, "30 to 60 mins", calls[[#This Row],[Duration]]&lt;=120, "1 to 2 hours", TRUE, "More than 2 hours")</f>
        <v>30 to 60 mins</v>
      </c>
      <c r="K924">
        <f>ROUND(calls[[#This Row],[Satisfaction Rating]],0)</f>
        <v>3</v>
      </c>
    </row>
    <row r="925" spans="1:11" ht="13.8" x14ac:dyDescent="0.25">
      <c r="A925" t="s">
        <v>954</v>
      </c>
      <c r="B925" t="s">
        <v>54</v>
      </c>
      <c r="C925">
        <v>54</v>
      </c>
      <c r="D925" s="4" t="s">
        <v>13</v>
      </c>
      <c r="E925" s="5">
        <v>45247</v>
      </c>
      <c r="F925">
        <v>145</v>
      </c>
      <c r="G925">
        <v>2.7</v>
      </c>
      <c r="H925">
        <f>IF(MONTH(calls[[#This Row],[Date of Call]])&lt;=6, YEAR(calls[[#This Row],[Date of Call]]), YEAR(calls[[#This Row],[Date of Call]])+1)</f>
        <v>2024</v>
      </c>
      <c r="I925" t="str">
        <f>TEXT(calls[[#This Row],[Date of Call]],"DDDD")</f>
        <v>Friday</v>
      </c>
      <c r="J925" t="str">
        <f t="array" ref="J925">_xlfn.IFS(calls[[#This Row],[Duration]]&lt;=10,"Under 10 mins", calls[[#This Row],[Duration]]&lt;=30, "10 to 30 mins", calls[[#This Row],[Duration]]&lt;=60, "30 to 60 mins", calls[[#This Row],[Duration]]&lt;=120, "1 to 2 hours", TRUE, "More than 2 hours")</f>
        <v>30 to 60 mins</v>
      </c>
      <c r="K925">
        <f>ROUND(calls[[#This Row],[Satisfaction Rating]],0)</f>
        <v>3</v>
      </c>
    </row>
    <row r="926" spans="1:11" ht="13.8" x14ac:dyDescent="0.25">
      <c r="A926" t="s">
        <v>955</v>
      </c>
      <c r="B926" t="s">
        <v>31</v>
      </c>
      <c r="C926">
        <v>71</v>
      </c>
      <c r="D926" s="4" t="s">
        <v>32</v>
      </c>
      <c r="E926" s="5">
        <v>45247</v>
      </c>
      <c r="F926">
        <v>64</v>
      </c>
      <c r="G926">
        <v>3.9</v>
      </c>
      <c r="H926">
        <f>IF(MONTH(calls[[#This Row],[Date of Call]])&lt;=6, YEAR(calls[[#This Row],[Date of Call]]), YEAR(calls[[#This Row],[Date of Call]])+1)</f>
        <v>2024</v>
      </c>
      <c r="I926" t="str">
        <f>TEXT(calls[[#This Row],[Date of Call]],"DDDD")</f>
        <v>Friday</v>
      </c>
      <c r="J926" t="str">
        <f t="array" ref="J926">_xlfn.IFS(calls[[#This Row],[Duration]]&lt;=10,"Under 10 mins", calls[[#This Row],[Duration]]&lt;=30, "10 to 30 mins", calls[[#This Row],[Duration]]&lt;=60, "30 to 60 mins", calls[[#This Row],[Duration]]&lt;=120, "1 to 2 hours", TRUE, "More than 2 hours")</f>
        <v>1 to 2 hours</v>
      </c>
      <c r="K926">
        <f>ROUND(calls[[#This Row],[Satisfaction Rating]],0)</f>
        <v>4</v>
      </c>
    </row>
    <row r="927" spans="1:11" ht="13.8" x14ac:dyDescent="0.25">
      <c r="A927" t="s">
        <v>956</v>
      </c>
      <c r="B927" t="s">
        <v>54</v>
      </c>
      <c r="C927">
        <v>93</v>
      </c>
      <c r="D927" s="4" t="s">
        <v>13</v>
      </c>
      <c r="E927" s="5">
        <v>45248</v>
      </c>
      <c r="F927">
        <v>185</v>
      </c>
      <c r="G927">
        <v>4.3</v>
      </c>
      <c r="H927">
        <f>IF(MONTH(calls[[#This Row],[Date of Call]])&lt;=6, YEAR(calls[[#This Row],[Date of Call]]), YEAR(calls[[#This Row],[Date of Call]])+1)</f>
        <v>2024</v>
      </c>
      <c r="I927" t="str">
        <f>TEXT(calls[[#This Row],[Date of Call]],"DDDD")</f>
        <v>Saturday</v>
      </c>
      <c r="J927" t="str">
        <f t="array" ref="J927">_xlfn.IFS(calls[[#This Row],[Duration]]&lt;=10,"Under 10 mins", calls[[#This Row],[Duration]]&lt;=30, "10 to 30 mins", calls[[#This Row],[Duration]]&lt;=60, "30 to 60 mins", calls[[#This Row],[Duration]]&lt;=120, "1 to 2 hours", TRUE, "More than 2 hours")</f>
        <v>1 to 2 hours</v>
      </c>
      <c r="K927">
        <f>ROUND(calls[[#This Row],[Satisfaction Rating]],0)</f>
        <v>4</v>
      </c>
    </row>
    <row r="928" spans="1:11" ht="13.8" x14ac:dyDescent="0.25">
      <c r="A928" t="s">
        <v>957</v>
      </c>
      <c r="B928" t="s">
        <v>20</v>
      </c>
      <c r="C928">
        <v>96</v>
      </c>
      <c r="D928" s="4" t="s">
        <v>18</v>
      </c>
      <c r="E928" s="5">
        <v>45248</v>
      </c>
      <c r="F928">
        <v>215</v>
      </c>
      <c r="G928">
        <v>2.5</v>
      </c>
      <c r="H928">
        <f>IF(MONTH(calls[[#This Row],[Date of Call]])&lt;=6, YEAR(calls[[#This Row],[Date of Call]]), YEAR(calls[[#This Row],[Date of Call]])+1)</f>
        <v>2024</v>
      </c>
      <c r="I928" t="str">
        <f>TEXT(calls[[#This Row],[Date of Call]],"DDDD")</f>
        <v>Saturday</v>
      </c>
      <c r="J928" t="str">
        <f t="array" ref="J928">_xlfn.IFS(calls[[#This Row],[Duration]]&lt;=10,"Under 10 mins", calls[[#This Row],[Duration]]&lt;=30, "10 to 30 mins", calls[[#This Row],[Duration]]&lt;=60, "30 to 60 mins", calls[[#This Row],[Duration]]&lt;=120, "1 to 2 hours", TRUE, "More than 2 hours")</f>
        <v>1 to 2 hours</v>
      </c>
      <c r="K928">
        <f>ROUND(calls[[#This Row],[Satisfaction Rating]],0)</f>
        <v>3</v>
      </c>
    </row>
    <row r="929" spans="1:11" ht="13.8" x14ac:dyDescent="0.25">
      <c r="A929" t="s">
        <v>958</v>
      </c>
      <c r="B929" t="s">
        <v>37</v>
      </c>
      <c r="C929">
        <v>31</v>
      </c>
      <c r="D929" s="4" t="s">
        <v>23</v>
      </c>
      <c r="E929" s="5">
        <v>45248</v>
      </c>
      <c r="F929">
        <v>88</v>
      </c>
      <c r="G929">
        <v>3.4</v>
      </c>
      <c r="H929">
        <f>IF(MONTH(calls[[#This Row],[Date of Call]])&lt;=6, YEAR(calls[[#This Row],[Date of Call]]), YEAR(calls[[#This Row],[Date of Call]])+1)</f>
        <v>2024</v>
      </c>
      <c r="I929" t="str">
        <f>TEXT(calls[[#This Row],[Date of Call]],"DDDD")</f>
        <v>Saturday</v>
      </c>
      <c r="J929" t="str">
        <f t="array" ref="J929">_xlfn.IFS(calls[[#This Row],[Duration]]&lt;=10,"Under 10 mins", calls[[#This Row],[Duration]]&lt;=30, "10 to 30 mins", calls[[#This Row],[Duration]]&lt;=60, "30 to 60 mins", calls[[#This Row],[Duration]]&lt;=120, "1 to 2 hours", TRUE, "More than 2 hours")</f>
        <v>30 to 60 mins</v>
      </c>
      <c r="K929">
        <f>ROUND(calls[[#This Row],[Satisfaction Rating]],0)</f>
        <v>3</v>
      </c>
    </row>
    <row r="930" spans="1:11" ht="13.8" x14ac:dyDescent="0.25">
      <c r="A930" t="s">
        <v>959</v>
      </c>
      <c r="B930" t="s">
        <v>54</v>
      </c>
      <c r="C930">
        <v>107</v>
      </c>
      <c r="D930" s="4" t="s">
        <v>32</v>
      </c>
      <c r="E930" s="5">
        <v>45248</v>
      </c>
      <c r="F930">
        <v>23</v>
      </c>
      <c r="G930">
        <v>3.4</v>
      </c>
      <c r="H930">
        <f>IF(MONTH(calls[[#This Row],[Date of Call]])&lt;=6, YEAR(calls[[#This Row],[Date of Call]]), YEAR(calls[[#This Row],[Date of Call]])+1)</f>
        <v>2024</v>
      </c>
      <c r="I930" t="str">
        <f>TEXT(calls[[#This Row],[Date of Call]],"DDDD")</f>
        <v>Saturday</v>
      </c>
      <c r="J930" t="str">
        <f t="array" ref="J930">_xlfn.IFS(calls[[#This Row],[Duration]]&lt;=10,"Under 10 mins", calls[[#This Row],[Duration]]&lt;=30, "10 to 30 mins", calls[[#This Row],[Duration]]&lt;=60, "30 to 60 mins", calls[[#This Row],[Duration]]&lt;=120, "1 to 2 hours", TRUE, "More than 2 hours")</f>
        <v>1 to 2 hours</v>
      </c>
      <c r="K930">
        <f>ROUND(calls[[#This Row],[Satisfaction Rating]],0)</f>
        <v>3</v>
      </c>
    </row>
    <row r="931" spans="1:11" ht="13.8" x14ac:dyDescent="0.25">
      <c r="A931" t="s">
        <v>960</v>
      </c>
      <c r="B931" t="s">
        <v>17</v>
      </c>
      <c r="C931">
        <v>50</v>
      </c>
      <c r="D931" s="4" t="s">
        <v>23</v>
      </c>
      <c r="E931" s="5">
        <v>45249</v>
      </c>
      <c r="F931">
        <v>180</v>
      </c>
      <c r="G931">
        <v>1.8</v>
      </c>
      <c r="H931">
        <f>IF(MONTH(calls[[#This Row],[Date of Call]])&lt;=6, YEAR(calls[[#This Row],[Date of Call]]), YEAR(calls[[#This Row],[Date of Call]])+1)</f>
        <v>2024</v>
      </c>
      <c r="I931" t="str">
        <f>TEXT(calls[[#This Row],[Date of Call]],"DDDD")</f>
        <v>Sunday</v>
      </c>
      <c r="J931" t="str">
        <f t="array" ref="J931">_xlfn.IFS(calls[[#This Row],[Duration]]&lt;=10,"Under 10 mins", calls[[#This Row],[Duration]]&lt;=30, "10 to 30 mins", calls[[#This Row],[Duration]]&lt;=60, "30 to 60 mins", calls[[#This Row],[Duration]]&lt;=120, "1 to 2 hours", TRUE, "More than 2 hours")</f>
        <v>30 to 60 mins</v>
      </c>
      <c r="K931">
        <f>ROUND(calls[[#This Row],[Satisfaction Rating]],0)</f>
        <v>2</v>
      </c>
    </row>
    <row r="932" spans="1:11" ht="13.8" x14ac:dyDescent="0.25">
      <c r="A932" t="s">
        <v>961</v>
      </c>
      <c r="B932" t="s">
        <v>64</v>
      </c>
      <c r="C932">
        <v>69</v>
      </c>
      <c r="D932" s="4" t="s">
        <v>32</v>
      </c>
      <c r="E932" s="5">
        <v>45250</v>
      </c>
      <c r="F932">
        <v>225</v>
      </c>
      <c r="G932">
        <v>3.7</v>
      </c>
      <c r="H932">
        <f>IF(MONTH(calls[[#This Row],[Date of Call]])&lt;=6, YEAR(calls[[#This Row],[Date of Call]]), YEAR(calls[[#This Row],[Date of Call]])+1)</f>
        <v>2024</v>
      </c>
      <c r="I932" t="str">
        <f>TEXT(calls[[#This Row],[Date of Call]],"DDDD")</f>
        <v>Monday</v>
      </c>
      <c r="J932" t="str">
        <f t="array" ref="J932">_xlfn.IFS(calls[[#This Row],[Duration]]&lt;=10,"Under 10 mins", calls[[#This Row],[Duration]]&lt;=30, "10 to 30 mins", calls[[#This Row],[Duration]]&lt;=60, "30 to 60 mins", calls[[#This Row],[Duration]]&lt;=120, "1 to 2 hours", TRUE, "More than 2 hours")</f>
        <v>1 to 2 hours</v>
      </c>
      <c r="K932">
        <f>ROUND(calls[[#This Row],[Satisfaction Rating]],0)</f>
        <v>4</v>
      </c>
    </row>
    <row r="933" spans="1:11" ht="13.8" x14ac:dyDescent="0.25">
      <c r="A933" t="s">
        <v>962</v>
      </c>
      <c r="B933" t="s">
        <v>22</v>
      </c>
      <c r="C933">
        <v>26</v>
      </c>
      <c r="D933" s="4" t="s">
        <v>18</v>
      </c>
      <c r="E933" s="5">
        <v>45251</v>
      </c>
      <c r="F933">
        <v>74</v>
      </c>
      <c r="G933">
        <v>4.0999999999999996</v>
      </c>
      <c r="H933">
        <f>IF(MONTH(calls[[#This Row],[Date of Call]])&lt;=6, YEAR(calls[[#This Row],[Date of Call]]), YEAR(calls[[#This Row],[Date of Call]])+1)</f>
        <v>2024</v>
      </c>
      <c r="I933" t="str">
        <f>TEXT(calls[[#This Row],[Date of Call]],"DDDD")</f>
        <v>Tuesday</v>
      </c>
      <c r="J933" t="str">
        <f t="array" ref="J933">_xlfn.IFS(calls[[#This Row],[Duration]]&lt;=10,"Under 10 mins", calls[[#This Row],[Duration]]&lt;=30, "10 to 30 mins", calls[[#This Row],[Duration]]&lt;=60, "30 to 60 mins", calls[[#This Row],[Duration]]&lt;=120, "1 to 2 hours", TRUE, "More than 2 hours")</f>
        <v>10 to 30 mins</v>
      </c>
      <c r="K933">
        <f>ROUND(calls[[#This Row],[Satisfaction Rating]],0)</f>
        <v>4</v>
      </c>
    </row>
    <row r="934" spans="1:11" ht="13.8" x14ac:dyDescent="0.25">
      <c r="A934" t="s">
        <v>963</v>
      </c>
      <c r="B934" t="s">
        <v>20</v>
      </c>
      <c r="C934">
        <v>158</v>
      </c>
      <c r="D934" s="4" t="s">
        <v>32</v>
      </c>
      <c r="E934" s="5">
        <v>45251</v>
      </c>
      <c r="F934">
        <v>36</v>
      </c>
      <c r="G934">
        <v>3</v>
      </c>
      <c r="H934">
        <f>IF(MONTH(calls[[#This Row],[Date of Call]])&lt;=6, YEAR(calls[[#This Row],[Date of Call]]), YEAR(calls[[#This Row],[Date of Call]])+1)</f>
        <v>2024</v>
      </c>
      <c r="I934" t="str">
        <f>TEXT(calls[[#This Row],[Date of Call]],"DDDD")</f>
        <v>Tuesday</v>
      </c>
      <c r="J934" t="str">
        <f t="array" ref="J934">_xlfn.IFS(calls[[#This Row],[Duration]]&lt;=10,"Under 10 mins", calls[[#This Row],[Duration]]&lt;=30, "10 to 30 mins", calls[[#This Row],[Duration]]&lt;=60, "30 to 60 mins", calls[[#This Row],[Duration]]&lt;=120, "1 to 2 hours", TRUE, "More than 2 hours")</f>
        <v>More than 2 hours</v>
      </c>
      <c r="K934">
        <f>ROUND(calls[[#This Row],[Satisfaction Rating]],0)</f>
        <v>3</v>
      </c>
    </row>
    <row r="935" spans="1:11" ht="13.8" x14ac:dyDescent="0.25">
      <c r="A935" t="s">
        <v>964</v>
      </c>
      <c r="B935" t="s">
        <v>26</v>
      </c>
      <c r="C935">
        <v>99</v>
      </c>
      <c r="D935" s="4" t="s">
        <v>32</v>
      </c>
      <c r="E935" s="5">
        <v>45253</v>
      </c>
      <c r="F935">
        <v>116</v>
      </c>
      <c r="G935">
        <v>3.9</v>
      </c>
      <c r="H935">
        <f>IF(MONTH(calls[[#This Row],[Date of Call]])&lt;=6, YEAR(calls[[#This Row],[Date of Call]]), YEAR(calls[[#This Row],[Date of Call]])+1)</f>
        <v>2024</v>
      </c>
      <c r="I935" t="str">
        <f>TEXT(calls[[#This Row],[Date of Call]],"DDDD")</f>
        <v>Thursday</v>
      </c>
      <c r="J935" t="str">
        <f t="array" ref="J935">_xlfn.IFS(calls[[#This Row],[Duration]]&lt;=10,"Under 10 mins", calls[[#This Row],[Duration]]&lt;=30, "10 to 30 mins", calls[[#This Row],[Duration]]&lt;=60, "30 to 60 mins", calls[[#This Row],[Duration]]&lt;=120, "1 to 2 hours", TRUE, "More than 2 hours")</f>
        <v>1 to 2 hours</v>
      </c>
      <c r="K935">
        <f>ROUND(calls[[#This Row],[Satisfaction Rating]],0)</f>
        <v>4</v>
      </c>
    </row>
    <row r="936" spans="1:11" ht="13.8" x14ac:dyDescent="0.25">
      <c r="A936" t="s">
        <v>965</v>
      </c>
      <c r="B936" t="s">
        <v>20</v>
      </c>
      <c r="C936">
        <v>78</v>
      </c>
      <c r="D936" s="4" t="s">
        <v>23</v>
      </c>
      <c r="E936" s="5">
        <v>45253</v>
      </c>
      <c r="F936">
        <v>140</v>
      </c>
      <c r="G936">
        <v>4</v>
      </c>
      <c r="H936">
        <f>IF(MONTH(calls[[#This Row],[Date of Call]])&lt;=6, YEAR(calls[[#This Row],[Date of Call]]), YEAR(calls[[#This Row],[Date of Call]])+1)</f>
        <v>2024</v>
      </c>
      <c r="I936" t="str">
        <f>TEXT(calls[[#This Row],[Date of Call]],"DDDD")</f>
        <v>Thursday</v>
      </c>
      <c r="J936" t="str">
        <f t="array" ref="J936">_xlfn.IFS(calls[[#This Row],[Duration]]&lt;=10,"Under 10 mins", calls[[#This Row],[Duration]]&lt;=30, "10 to 30 mins", calls[[#This Row],[Duration]]&lt;=60, "30 to 60 mins", calls[[#This Row],[Duration]]&lt;=120, "1 to 2 hours", TRUE, "More than 2 hours")</f>
        <v>1 to 2 hours</v>
      </c>
      <c r="K936">
        <f>ROUND(calls[[#This Row],[Satisfaction Rating]],0)</f>
        <v>4</v>
      </c>
    </row>
    <row r="937" spans="1:11" ht="13.8" x14ac:dyDescent="0.25">
      <c r="A937" t="s">
        <v>966</v>
      </c>
      <c r="B937" t="s">
        <v>20</v>
      </c>
      <c r="C937">
        <v>102</v>
      </c>
      <c r="D937" s="4" t="s">
        <v>18</v>
      </c>
      <c r="E937" s="5">
        <v>45254</v>
      </c>
      <c r="F937">
        <v>104</v>
      </c>
      <c r="G937">
        <v>4.5</v>
      </c>
      <c r="H937">
        <f>IF(MONTH(calls[[#This Row],[Date of Call]])&lt;=6, YEAR(calls[[#This Row],[Date of Call]]), YEAR(calls[[#This Row],[Date of Call]])+1)</f>
        <v>2024</v>
      </c>
      <c r="I937" t="str">
        <f>TEXT(calls[[#This Row],[Date of Call]],"DDDD")</f>
        <v>Friday</v>
      </c>
      <c r="J937" t="str">
        <f t="array" ref="J937">_xlfn.IFS(calls[[#This Row],[Duration]]&lt;=10,"Under 10 mins", calls[[#This Row],[Duration]]&lt;=30, "10 to 30 mins", calls[[#This Row],[Duration]]&lt;=60, "30 to 60 mins", calls[[#This Row],[Duration]]&lt;=120, "1 to 2 hours", TRUE, "More than 2 hours")</f>
        <v>1 to 2 hours</v>
      </c>
      <c r="K937">
        <f>ROUND(calls[[#This Row],[Satisfaction Rating]],0)</f>
        <v>5</v>
      </c>
    </row>
    <row r="938" spans="1:11" ht="13.8" x14ac:dyDescent="0.25">
      <c r="A938" t="s">
        <v>967</v>
      </c>
      <c r="B938" t="s">
        <v>26</v>
      </c>
      <c r="C938">
        <v>158</v>
      </c>
      <c r="D938" s="4" t="s">
        <v>28</v>
      </c>
      <c r="E938" s="5">
        <v>45254</v>
      </c>
      <c r="F938">
        <v>148</v>
      </c>
      <c r="G938">
        <v>4</v>
      </c>
      <c r="H938">
        <f>IF(MONTH(calls[[#This Row],[Date of Call]])&lt;=6, YEAR(calls[[#This Row],[Date of Call]]), YEAR(calls[[#This Row],[Date of Call]])+1)</f>
        <v>2024</v>
      </c>
      <c r="I938" t="str">
        <f>TEXT(calls[[#This Row],[Date of Call]],"DDDD")</f>
        <v>Friday</v>
      </c>
      <c r="J938" t="str">
        <f t="array" ref="J938">_xlfn.IFS(calls[[#This Row],[Duration]]&lt;=10,"Under 10 mins", calls[[#This Row],[Duration]]&lt;=30, "10 to 30 mins", calls[[#This Row],[Duration]]&lt;=60, "30 to 60 mins", calls[[#This Row],[Duration]]&lt;=120, "1 to 2 hours", TRUE, "More than 2 hours")</f>
        <v>More than 2 hours</v>
      </c>
      <c r="K938">
        <f>ROUND(calls[[#This Row],[Satisfaction Rating]],0)</f>
        <v>4</v>
      </c>
    </row>
    <row r="939" spans="1:11" ht="13.8" x14ac:dyDescent="0.25">
      <c r="A939" t="s">
        <v>968</v>
      </c>
      <c r="B939" t="s">
        <v>37</v>
      </c>
      <c r="C939">
        <v>56</v>
      </c>
      <c r="D939" s="4" t="s">
        <v>32</v>
      </c>
      <c r="E939" s="5">
        <v>45254</v>
      </c>
      <c r="F939">
        <v>205</v>
      </c>
      <c r="G939">
        <v>4.3</v>
      </c>
      <c r="H939">
        <f>IF(MONTH(calls[[#This Row],[Date of Call]])&lt;=6, YEAR(calls[[#This Row],[Date of Call]]), YEAR(calls[[#This Row],[Date of Call]])+1)</f>
        <v>2024</v>
      </c>
      <c r="I939" t="str">
        <f>TEXT(calls[[#This Row],[Date of Call]],"DDDD")</f>
        <v>Friday</v>
      </c>
      <c r="J939" t="str">
        <f t="array" ref="J939">_xlfn.IFS(calls[[#This Row],[Duration]]&lt;=10,"Under 10 mins", calls[[#This Row],[Duration]]&lt;=30, "10 to 30 mins", calls[[#This Row],[Duration]]&lt;=60, "30 to 60 mins", calls[[#This Row],[Duration]]&lt;=120, "1 to 2 hours", TRUE, "More than 2 hours")</f>
        <v>30 to 60 mins</v>
      </c>
      <c r="K939">
        <f>ROUND(calls[[#This Row],[Satisfaction Rating]],0)</f>
        <v>4</v>
      </c>
    </row>
    <row r="940" spans="1:11" ht="13.8" x14ac:dyDescent="0.25">
      <c r="A940" t="s">
        <v>969</v>
      </c>
      <c r="B940" t="s">
        <v>15</v>
      </c>
      <c r="C940">
        <v>17</v>
      </c>
      <c r="D940" s="4" t="s">
        <v>13</v>
      </c>
      <c r="E940" s="5">
        <v>45254</v>
      </c>
      <c r="F940">
        <v>210</v>
      </c>
      <c r="G940">
        <v>4.8</v>
      </c>
      <c r="H940">
        <f>IF(MONTH(calls[[#This Row],[Date of Call]])&lt;=6, YEAR(calls[[#This Row],[Date of Call]]), YEAR(calls[[#This Row],[Date of Call]])+1)</f>
        <v>2024</v>
      </c>
      <c r="I940" t="str">
        <f>TEXT(calls[[#This Row],[Date of Call]],"DDDD")</f>
        <v>Friday</v>
      </c>
      <c r="J940" t="str">
        <f t="array" ref="J940">_xlfn.IFS(calls[[#This Row],[Duration]]&lt;=10,"Under 10 mins", calls[[#This Row],[Duration]]&lt;=30, "10 to 30 mins", calls[[#This Row],[Duration]]&lt;=60, "30 to 60 mins", calls[[#This Row],[Duration]]&lt;=120, "1 to 2 hours", TRUE, "More than 2 hours")</f>
        <v>10 to 30 mins</v>
      </c>
      <c r="K940">
        <f>ROUND(calls[[#This Row],[Satisfaction Rating]],0)</f>
        <v>5</v>
      </c>
    </row>
    <row r="941" spans="1:11" ht="13.8" x14ac:dyDescent="0.25">
      <c r="A941" t="s">
        <v>970</v>
      </c>
      <c r="B941" t="s">
        <v>22</v>
      </c>
      <c r="C941">
        <v>104</v>
      </c>
      <c r="D941" s="4" t="s">
        <v>28</v>
      </c>
      <c r="E941" s="5">
        <v>45256</v>
      </c>
      <c r="F941">
        <v>41</v>
      </c>
      <c r="G941">
        <v>4.7</v>
      </c>
      <c r="H941">
        <f>IF(MONTH(calls[[#This Row],[Date of Call]])&lt;=6, YEAR(calls[[#This Row],[Date of Call]]), YEAR(calls[[#This Row],[Date of Call]])+1)</f>
        <v>2024</v>
      </c>
      <c r="I941" t="str">
        <f>TEXT(calls[[#This Row],[Date of Call]],"DDDD")</f>
        <v>Sunday</v>
      </c>
      <c r="J941" t="str">
        <f t="array" ref="J941">_xlfn.IFS(calls[[#This Row],[Duration]]&lt;=10,"Under 10 mins", calls[[#This Row],[Duration]]&lt;=30, "10 to 30 mins", calls[[#This Row],[Duration]]&lt;=60, "30 to 60 mins", calls[[#This Row],[Duration]]&lt;=120, "1 to 2 hours", TRUE, "More than 2 hours")</f>
        <v>1 to 2 hours</v>
      </c>
      <c r="K941">
        <f>ROUND(calls[[#This Row],[Satisfaction Rating]],0)</f>
        <v>5</v>
      </c>
    </row>
    <row r="942" spans="1:11" ht="13.8" x14ac:dyDescent="0.25">
      <c r="A942" t="s">
        <v>971</v>
      </c>
      <c r="B942" t="s">
        <v>51</v>
      </c>
      <c r="C942">
        <v>96</v>
      </c>
      <c r="D942" s="4" t="s">
        <v>23</v>
      </c>
      <c r="E942" s="5">
        <v>45256</v>
      </c>
      <c r="F942">
        <v>136</v>
      </c>
      <c r="G942">
        <v>5</v>
      </c>
      <c r="H942">
        <f>IF(MONTH(calls[[#This Row],[Date of Call]])&lt;=6, YEAR(calls[[#This Row],[Date of Call]]), YEAR(calls[[#This Row],[Date of Call]])+1)</f>
        <v>2024</v>
      </c>
      <c r="I942" t="str">
        <f>TEXT(calls[[#This Row],[Date of Call]],"DDDD")</f>
        <v>Sunday</v>
      </c>
      <c r="J942" t="str">
        <f t="array" ref="J942">_xlfn.IFS(calls[[#This Row],[Duration]]&lt;=10,"Under 10 mins", calls[[#This Row],[Duration]]&lt;=30, "10 to 30 mins", calls[[#This Row],[Duration]]&lt;=60, "30 to 60 mins", calls[[#This Row],[Duration]]&lt;=120, "1 to 2 hours", TRUE, "More than 2 hours")</f>
        <v>1 to 2 hours</v>
      </c>
      <c r="K942">
        <f>ROUND(calls[[#This Row],[Satisfaction Rating]],0)</f>
        <v>5</v>
      </c>
    </row>
    <row r="943" spans="1:11" ht="13.8" x14ac:dyDescent="0.25">
      <c r="A943" t="s">
        <v>972</v>
      </c>
      <c r="B943" t="s">
        <v>43</v>
      </c>
      <c r="C943">
        <v>83</v>
      </c>
      <c r="D943" s="4" t="s">
        <v>18</v>
      </c>
      <c r="E943" s="5">
        <v>45257</v>
      </c>
      <c r="F943">
        <v>126</v>
      </c>
      <c r="G943">
        <v>1.5</v>
      </c>
      <c r="H943">
        <f>IF(MONTH(calls[[#This Row],[Date of Call]])&lt;=6, YEAR(calls[[#This Row],[Date of Call]]), YEAR(calls[[#This Row],[Date of Call]])+1)</f>
        <v>2024</v>
      </c>
      <c r="I943" t="str">
        <f>TEXT(calls[[#This Row],[Date of Call]],"DDDD")</f>
        <v>Monday</v>
      </c>
      <c r="J943" t="str">
        <f t="array" ref="J943">_xlfn.IFS(calls[[#This Row],[Duration]]&lt;=10,"Under 10 mins", calls[[#This Row],[Duration]]&lt;=30, "10 to 30 mins", calls[[#This Row],[Duration]]&lt;=60, "30 to 60 mins", calls[[#This Row],[Duration]]&lt;=120, "1 to 2 hours", TRUE, "More than 2 hours")</f>
        <v>1 to 2 hours</v>
      </c>
      <c r="K943">
        <f>ROUND(calls[[#This Row],[Satisfaction Rating]],0)</f>
        <v>2</v>
      </c>
    </row>
    <row r="944" spans="1:11" ht="13.8" x14ac:dyDescent="0.25">
      <c r="A944" t="s">
        <v>973</v>
      </c>
      <c r="B944" t="s">
        <v>17</v>
      </c>
      <c r="C944">
        <v>80</v>
      </c>
      <c r="D944" s="4" t="s">
        <v>13</v>
      </c>
      <c r="E944" s="5">
        <v>45258</v>
      </c>
      <c r="F944">
        <v>148</v>
      </c>
      <c r="G944">
        <v>4.0999999999999996</v>
      </c>
      <c r="H944">
        <f>IF(MONTH(calls[[#This Row],[Date of Call]])&lt;=6, YEAR(calls[[#This Row],[Date of Call]]), YEAR(calls[[#This Row],[Date of Call]])+1)</f>
        <v>2024</v>
      </c>
      <c r="I944" t="str">
        <f>TEXT(calls[[#This Row],[Date of Call]],"DDDD")</f>
        <v>Tuesday</v>
      </c>
      <c r="J944" t="str">
        <f t="array" ref="J944">_xlfn.IFS(calls[[#This Row],[Duration]]&lt;=10,"Under 10 mins", calls[[#This Row],[Duration]]&lt;=30, "10 to 30 mins", calls[[#This Row],[Duration]]&lt;=60, "30 to 60 mins", calls[[#This Row],[Duration]]&lt;=120, "1 to 2 hours", TRUE, "More than 2 hours")</f>
        <v>1 to 2 hours</v>
      </c>
      <c r="K944">
        <f>ROUND(calls[[#This Row],[Satisfaction Rating]],0)</f>
        <v>4</v>
      </c>
    </row>
    <row r="945" spans="1:11" ht="13.8" x14ac:dyDescent="0.25">
      <c r="A945" t="s">
        <v>974</v>
      </c>
      <c r="B945" t="s">
        <v>43</v>
      </c>
      <c r="C945">
        <v>152</v>
      </c>
      <c r="D945" s="4" t="s">
        <v>18</v>
      </c>
      <c r="E945" s="5">
        <v>45258</v>
      </c>
      <c r="F945">
        <v>125</v>
      </c>
      <c r="G945">
        <v>3.9</v>
      </c>
      <c r="H945">
        <f>IF(MONTH(calls[[#This Row],[Date of Call]])&lt;=6, YEAR(calls[[#This Row],[Date of Call]]), YEAR(calls[[#This Row],[Date of Call]])+1)</f>
        <v>2024</v>
      </c>
      <c r="I945" t="str">
        <f>TEXT(calls[[#This Row],[Date of Call]],"DDDD")</f>
        <v>Tuesday</v>
      </c>
      <c r="J945" t="str">
        <f t="array" ref="J945">_xlfn.IFS(calls[[#This Row],[Duration]]&lt;=10,"Under 10 mins", calls[[#This Row],[Duration]]&lt;=30, "10 to 30 mins", calls[[#This Row],[Duration]]&lt;=60, "30 to 60 mins", calls[[#This Row],[Duration]]&lt;=120, "1 to 2 hours", TRUE, "More than 2 hours")</f>
        <v>More than 2 hours</v>
      </c>
      <c r="K945">
        <f>ROUND(calls[[#This Row],[Satisfaction Rating]],0)</f>
        <v>4</v>
      </c>
    </row>
    <row r="946" spans="1:11" ht="13.8" x14ac:dyDescent="0.25">
      <c r="A946" t="s">
        <v>975</v>
      </c>
      <c r="B946" t="s">
        <v>31</v>
      </c>
      <c r="C946">
        <v>34</v>
      </c>
      <c r="D946" s="4" t="s">
        <v>23</v>
      </c>
      <c r="E946" s="5">
        <v>45258</v>
      </c>
      <c r="F946">
        <v>25</v>
      </c>
      <c r="G946">
        <v>4.0999999999999996</v>
      </c>
      <c r="H946">
        <f>IF(MONTH(calls[[#This Row],[Date of Call]])&lt;=6, YEAR(calls[[#This Row],[Date of Call]]), YEAR(calls[[#This Row],[Date of Call]])+1)</f>
        <v>2024</v>
      </c>
      <c r="I946" t="str">
        <f>TEXT(calls[[#This Row],[Date of Call]],"DDDD")</f>
        <v>Tuesday</v>
      </c>
      <c r="J946" t="str">
        <f t="array" ref="J946">_xlfn.IFS(calls[[#This Row],[Duration]]&lt;=10,"Under 10 mins", calls[[#This Row],[Duration]]&lt;=30, "10 to 30 mins", calls[[#This Row],[Duration]]&lt;=60, "30 to 60 mins", calls[[#This Row],[Duration]]&lt;=120, "1 to 2 hours", TRUE, "More than 2 hours")</f>
        <v>30 to 60 mins</v>
      </c>
      <c r="K946">
        <f>ROUND(calls[[#This Row],[Satisfaction Rating]],0)</f>
        <v>4</v>
      </c>
    </row>
    <row r="947" spans="1:11" ht="13.8" x14ac:dyDescent="0.25">
      <c r="A947" t="s">
        <v>976</v>
      </c>
      <c r="B947" t="s">
        <v>35</v>
      </c>
      <c r="C947">
        <v>2</v>
      </c>
      <c r="D947" s="4" t="s">
        <v>32</v>
      </c>
      <c r="E947" s="5">
        <v>45259</v>
      </c>
      <c r="F947">
        <v>62</v>
      </c>
      <c r="G947">
        <v>2.8</v>
      </c>
      <c r="H947">
        <f>IF(MONTH(calls[[#This Row],[Date of Call]])&lt;=6, YEAR(calls[[#This Row],[Date of Call]]), YEAR(calls[[#This Row],[Date of Call]])+1)</f>
        <v>2024</v>
      </c>
      <c r="I947" t="str">
        <f>TEXT(calls[[#This Row],[Date of Call]],"DDDD")</f>
        <v>Wednesday</v>
      </c>
      <c r="J947" t="str">
        <f t="array" ref="J947">_xlfn.IFS(calls[[#This Row],[Duration]]&lt;=10,"Under 10 mins", calls[[#This Row],[Duration]]&lt;=30, "10 to 30 mins", calls[[#This Row],[Duration]]&lt;=60, "30 to 60 mins", calls[[#This Row],[Duration]]&lt;=120, "1 to 2 hours", TRUE, "More than 2 hours")</f>
        <v>Under 10 mins</v>
      </c>
      <c r="K947">
        <f>ROUND(calls[[#This Row],[Satisfaction Rating]],0)</f>
        <v>3</v>
      </c>
    </row>
    <row r="948" spans="1:11" ht="13.8" x14ac:dyDescent="0.25">
      <c r="A948" t="s">
        <v>977</v>
      </c>
      <c r="B948" t="s">
        <v>17</v>
      </c>
      <c r="C948">
        <v>140</v>
      </c>
      <c r="D948" s="4" t="s">
        <v>23</v>
      </c>
      <c r="E948" s="5">
        <v>45260</v>
      </c>
      <c r="F948">
        <v>90</v>
      </c>
      <c r="G948">
        <v>4.5999999999999996</v>
      </c>
      <c r="H948">
        <f>IF(MONTH(calls[[#This Row],[Date of Call]])&lt;=6, YEAR(calls[[#This Row],[Date of Call]]), YEAR(calls[[#This Row],[Date of Call]])+1)</f>
        <v>2024</v>
      </c>
      <c r="I948" t="str">
        <f>TEXT(calls[[#This Row],[Date of Call]],"DDDD")</f>
        <v>Thursday</v>
      </c>
      <c r="J948" t="str">
        <f t="array" ref="J948">_xlfn.IFS(calls[[#This Row],[Duration]]&lt;=10,"Under 10 mins", calls[[#This Row],[Duration]]&lt;=30, "10 to 30 mins", calls[[#This Row],[Duration]]&lt;=60, "30 to 60 mins", calls[[#This Row],[Duration]]&lt;=120, "1 to 2 hours", TRUE, "More than 2 hours")</f>
        <v>More than 2 hours</v>
      </c>
      <c r="K948">
        <f>ROUND(calls[[#This Row],[Satisfaction Rating]],0)</f>
        <v>5</v>
      </c>
    </row>
    <row r="949" spans="1:11" ht="13.8" x14ac:dyDescent="0.25">
      <c r="A949" t="s">
        <v>978</v>
      </c>
      <c r="B949" t="s">
        <v>15</v>
      </c>
      <c r="C949">
        <v>126</v>
      </c>
      <c r="D949" s="4" t="s">
        <v>28</v>
      </c>
      <c r="E949" s="5">
        <v>45261</v>
      </c>
      <c r="F949">
        <v>33</v>
      </c>
      <c r="G949">
        <v>4.8</v>
      </c>
      <c r="H949">
        <f>IF(MONTH(calls[[#This Row],[Date of Call]])&lt;=6, YEAR(calls[[#This Row],[Date of Call]]), YEAR(calls[[#This Row],[Date of Call]])+1)</f>
        <v>2024</v>
      </c>
      <c r="I949" t="str">
        <f>TEXT(calls[[#This Row],[Date of Call]],"DDDD")</f>
        <v>Friday</v>
      </c>
      <c r="J949" t="str">
        <f t="array" ref="J949">_xlfn.IFS(calls[[#This Row],[Duration]]&lt;=10,"Under 10 mins", calls[[#This Row],[Duration]]&lt;=30, "10 to 30 mins", calls[[#This Row],[Duration]]&lt;=60, "30 to 60 mins", calls[[#This Row],[Duration]]&lt;=120, "1 to 2 hours", TRUE, "More than 2 hours")</f>
        <v>More than 2 hours</v>
      </c>
      <c r="K949">
        <f>ROUND(calls[[#This Row],[Satisfaction Rating]],0)</f>
        <v>5</v>
      </c>
    </row>
    <row r="950" spans="1:11" ht="13.8" x14ac:dyDescent="0.25">
      <c r="A950" t="s">
        <v>979</v>
      </c>
      <c r="B950" t="s">
        <v>20</v>
      </c>
      <c r="C950">
        <v>79</v>
      </c>
      <c r="D950" s="4" t="s">
        <v>32</v>
      </c>
      <c r="E950" s="5">
        <v>45261</v>
      </c>
      <c r="F950">
        <v>115</v>
      </c>
      <c r="G950">
        <v>2.2999999999999998</v>
      </c>
      <c r="H950">
        <f>IF(MONTH(calls[[#This Row],[Date of Call]])&lt;=6, YEAR(calls[[#This Row],[Date of Call]]), YEAR(calls[[#This Row],[Date of Call]])+1)</f>
        <v>2024</v>
      </c>
      <c r="I950" t="str">
        <f>TEXT(calls[[#This Row],[Date of Call]],"DDDD")</f>
        <v>Friday</v>
      </c>
      <c r="J950" t="str">
        <f t="array" ref="J950">_xlfn.IFS(calls[[#This Row],[Duration]]&lt;=10,"Under 10 mins", calls[[#This Row],[Duration]]&lt;=30, "10 to 30 mins", calls[[#This Row],[Duration]]&lt;=60, "30 to 60 mins", calls[[#This Row],[Duration]]&lt;=120, "1 to 2 hours", TRUE, "More than 2 hours")</f>
        <v>1 to 2 hours</v>
      </c>
      <c r="K950">
        <f>ROUND(calls[[#This Row],[Satisfaction Rating]],0)</f>
        <v>2</v>
      </c>
    </row>
    <row r="951" spans="1:11" ht="13.8" x14ac:dyDescent="0.25">
      <c r="A951" t="s">
        <v>980</v>
      </c>
      <c r="B951" t="s">
        <v>15</v>
      </c>
      <c r="C951">
        <v>133</v>
      </c>
      <c r="D951" s="4" t="s">
        <v>28</v>
      </c>
      <c r="E951" s="5">
        <v>45261</v>
      </c>
      <c r="F951">
        <v>45</v>
      </c>
      <c r="G951">
        <v>2.6</v>
      </c>
      <c r="H951">
        <f>IF(MONTH(calls[[#This Row],[Date of Call]])&lt;=6, YEAR(calls[[#This Row],[Date of Call]]), YEAR(calls[[#This Row],[Date of Call]])+1)</f>
        <v>2024</v>
      </c>
      <c r="I951" t="str">
        <f>TEXT(calls[[#This Row],[Date of Call]],"DDDD")</f>
        <v>Friday</v>
      </c>
      <c r="J951" t="str">
        <f t="array" ref="J951">_xlfn.IFS(calls[[#This Row],[Duration]]&lt;=10,"Under 10 mins", calls[[#This Row],[Duration]]&lt;=30, "10 to 30 mins", calls[[#This Row],[Duration]]&lt;=60, "30 to 60 mins", calls[[#This Row],[Duration]]&lt;=120, "1 to 2 hours", TRUE, "More than 2 hours")</f>
        <v>More than 2 hours</v>
      </c>
      <c r="K951">
        <f>ROUND(calls[[#This Row],[Satisfaction Rating]],0)</f>
        <v>3</v>
      </c>
    </row>
    <row r="952" spans="1:11" ht="13.8" x14ac:dyDescent="0.25">
      <c r="A952" t="s">
        <v>981</v>
      </c>
      <c r="B952" t="s">
        <v>31</v>
      </c>
      <c r="C952">
        <v>97</v>
      </c>
      <c r="D952" s="4" t="s">
        <v>13</v>
      </c>
      <c r="E952" s="5">
        <v>45261</v>
      </c>
      <c r="F952">
        <v>114</v>
      </c>
      <c r="G952">
        <v>4.8</v>
      </c>
      <c r="H952">
        <f>IF(MONTH(calls[[#This Row],[Date of Call]])&lt;=6, YEAR(calls[[#This Row],[Date of Call]]), YEAR(calls[[#This Row],[Date of Call]])+1)</f>
        <v>2024</v>
      </c>
      <c r="I952" t="str">
        <f>TEXT(calls[[#This Row],[Date of Call]],"DDDD")</f>
        <v>Friday</v>
      </c>
      <c r="J952" t="str">
        <f t="array" ref="J952">_xlfn.IFS(calls[[#This Row],[Duration]]&lt;=10,"Under 10 mins", calls[[#This Row],[Duration]]&lt;=30, "10 to 30 mins", calls[[#This Row],[Duration]]&lt;=60, "30 to 60 mins", calls[[#This Row],[Duration]]&lt;=120, "1 to 2 hours", TRUE, "More than 2 hours")</f>
        <v>1 to 2 hours</v>
      </c>
      <c r="K952">
        <f>ROUND(calls[[#This Row],[Satisfaction Rating]],0)</f>
        <v>5</v>
      </c>
    </row>
    <row r="953" spans="1:11" ht="13.8" x14ac:dyDescent="0.25">
      <c r="A953" t="s">
        <v>982</v>
      </c>
      <c r="B953" t="s">
        <v>20</v>
      </c>
      <c r="C953">
        <v>102</v>
      </c>
      <c r="D953" s="4" t="s">
        <v>18</v>
      </c>
      <c r="E953" s="5">
        <v>45262</v>
      </c>
      <c r="F953">
        <v>72</v>
      </c>
      <c r="G953">
        <v>3.7</v>
      </c>
      <c r="H953">
        <f>IF(MONTH(calls[[#This Row],[Date of Call]])&lt;=6, YEAR(calls[[#This Row],[Date of Call]]), YEAR(calls[[#This Row],[Date of Call]])+1)</f>
        <v>2024</v>
      </c>
      <c r="I953" t="str">
        <f>TEXT(calls[[#This Row],[Date of Call]],"DDDD")</f>
        <v>Saturday</v>
      </c>
      <c r="J953" t="str">
        <f t="array" ref="J953">_xlfn.IFS(calls[[#This Row],[Duration]]&lt;=10,"Under 10 mins", calls[[#This Row],[Duration]]&lt;=30, "10 to 30 mins", calls[[#This Row],[Duration]]&lt;=60, "30 to 60 mins", calls[[#This Row],[Duration]]&lt;=120, "1 to 2 hours", TRUE, "More than 2 hours")</f>
        <v>1 to 2 hours</v>
      </c>
      <c r="K953">
        <f>ROUND(calls[[#This Row],[Satisfaction Rating]],0)</f>
        <v>4</v>
      </c>
    </row>
    <row r="954" spans="1:11" ht="13.8" x14ac:dyDescent="0.25">
      <c r="A954" t="s">
        <v>983</v>
      </c>
      <c r="B954" t="s">
        <v>46</v>
      </c>
      <c r="C954">
        <v>62</v>
      </c>
      <c r="D954" s="4" t="s">
        <v>13</v>
      </c>
      <c r="E954" s="5">
        <v>45262</v>
      </c>
      <c r="F954">
        <v>205</v>
      </c>
      <c r="G954">
        <v>4.2</v>
      </c>
      <c r="H954">
        <f>IF(MONTH(calls[[#This Row],[Date of Call]])&lt;=6, YEAR(calls[[#This Row],[Date of Call]]), YEAR(calls[[#This Row],[Date of Call]])+1)</f>
        <v>2024</v>
      </c>
      <c r="I954" t="str">
        <f>TEXT(calls[[#This Row],[Date of Call]],"DDDD")</f>
        <v>Saturday</v>
      </c>
      <c r="J954" t="str">
        <f t="array" ref="J954">_xlfn.IFS(calls[[#This Row],[Duration]]&lt;=10,"Under 10 mins", calls[[#This Row],[Duration]]&lt;=30, "10 to 30 mins", calls[[#This Row],[Duration]]&lt;=60, "30 to 60 mins", calls[[#This Row],[Duration]]&lt;=120, "1 to 2 hours", TRUE, "More than 2 hours")</f>
        <v>1 to 2 hours</v>
      </c>
      <c r="K954">
        <f>ROUND(calls[[#This Row],[Satisfaction Rating]],0)</f>
        <v>4</v>
      </c>
    </row>
    <row r="955" spans="1:11" ht="13.8" x14ac:dyDescent="0.25">
      <c r="A955" t="s">
        <v>984</v>
      </c>
      <c r="B955" t="s">
        <v>15</v>
      </c>
      <c r="C955">
        <v>149</v>
      </c>
      <c r="D955" s="4" t="s">
        <v>18</v>
      </c>
      <c r="E955" s="5">
        <v>45263</v>
      </c>
      <c r="F955">
        <v>42</v>
      </c>
      <c r="G955">
        <v>3.3</v>
      </c>
      <c r="H955">
        <f>IF(MONTH(calls[[#This Row],[Date of Call]])&lt;=6, YEAR(calls[[#This Row],[Date of Call]]), YEAR(calls[[#This Row],[Date of Call]])+1)</f>
        <v>2024</v>
      </c>
      <c r="I955" t="str">
        <f>TEXT(calls[[#This Row],[Date of Call]],"DDDD")</f>
        <v>Sunday</v>
      </c>
      <c r="J955" t="str">
        <f t="array" ref="J955">_xlfn.IFS(calls[[#This Row],[Duration]]&lt;=10,"Under 10 mins", calls[[#This Row],[Duration]]&lt;=30, "10 to 30 mins", calls[[#This Row],[Duration]]&lt;=60, "30 to 60 mins", calls[[#This Row],[Duration]]&lt;=120, "1 to 2 hours", TRUE, "More than 2 hours")</f>
        <v>More than 2 hours</v>
      </c>
      <c r="K955">
        <f>ROUND(calls[[#This Row],[Satisfaction Rating]],0)</f>
        <v>3</v>
      </c>
    </row>
    <row r="956" spans="1:11" ht="13.8" x14ac:dyDescent="0.25">
      <c r="A956" t="s">
        <v>985</v>
      </c>
      <c r="B956" t="s">
        <v>35</v>
      </c>
      <c r="C956">
        <v>133</v>
      </c>
      <c r="D956" s="4" t="s">
        <v>13</v>
      </c>
      <c r="E956" s="5">
        <v>45263</v>
      </c>
      <c r="F956">
        <v>96</v>
      </c>
      <c r="G956">
        <v>4.3</v>
      </c>
      <c r="H956">
        <f>IF(MONTH(calls[[#This Row],[Date of Call]])&lt;=6, YEAR(calls[[#This Row],[Date of Call]]), YEAR(calls[[#This Row],[Date of Call]])+1)</f>
        <v>2024</v>
      </c>
      <c r="I956" t="str">
        <f>TEXT(calls[[#This Row],[Date of Call]],"DDDD")</f>
        <v>Sunday</v>
      </c>
      <c r="J956" t="str">
        <f t="array" ref="J956">_xlfn.IFS(calls[[#This Row],[Duration]]&lt;=10,"Under 10 mins", calls[[#This Row],[Duration]]&lt;=30, "10 to 30 mins", calls[[#This Row],[Duration]]&lt;=60, "30 to 60 mins", calls[[#This Row],[Duration]]&lt;=120, "1 to 2 hours", TRUE, "More than 2 hours")</f>
        <v>More than 2 hours</v>
      </c>
      <c r="K956">
        <f>ROUND(calls[[#This Row],[Satisfaction Rating]],0)</f>
        <v>4</v>
      </c>
    </row>
    <row r="957" spans="1:11" ht="13.8" x14ac:dyDescent="0.25">
      <c r="A957" t="s">
        <v>986</v>
      </c>
      <c r="B957" t="s">
        <v>20</v>
      </c>
      <c r="C957">
        <v>51</v>
      </c>
      <c r="D957" s="4" t="s">
        <v>32</v>
      </c>
      <c r="E957" s="5">
        <v>45263</v>
      </c>
      <c r="F957">
        <v>64</v>
      </c>
      <c r="G957">
        <v>3.7</v>
      </c>
      <c r="H957">
        <f>IF(MONTH(calls[[#This Row],[Date of Call]])&lt;=6, YEAR(calls[[#This Row],[Date of Call]]), YEAR(calls[[#This Row],[Date of Call]])+1)</f>
        <v>2024</v>
      </c>
      <c r="I957" t="str">
        <f>TEXT(calls[[#This Row],[Date of Call]],"DDDD")</f>
        <v>Sunday</v>
      </c>
      <c r="J957" t="str">
        <f t="array" ref="J957">_xlfn.IFS(calls[[#This Row],[Duration]]&lt;=10,"Under 10 mins", calls[[#This Row],[Duration]]&lt;=30, "10 to 30 mins", calls[[#This Row],[Duration]]&lt;=60, "30 to 60 mins", calls[[#This Row],[Duration]]&lt;=120, "1 to 2 hours", TRUE, "More than 2 hours")</f>
        <v>30 to 60 mins</v>
      </c>
      <c r="K957">
        <f>ROUND(calls[[#This Row],[Satisfaction Rating]],0)</f>
        <v>4</v>
      </c>
    </row>
    <row r="958" spans="1:11" ht="13.8" x14ac:dyDescent="0.25">
      <c r="A958" t="s">
        <v>987</v>
      </c>
      <c r="B958" t="s">
        <v>46</v>
      </c>
      <c r="C958">
        <v>110</v>
      </c>
      <c r="D958" s="4" t="s">
        <v>13</v>
      </c>
      <c r="E958" s="5">
        <v>45264</v>
      </c>
      <c r="F958">
        <v>72</v>
      </c>
      <c r="G958">
        <v>3.7</v>
      </c>
      <c r="H958">
        <f>IF(MONTH(calls[[#This Row],[Date of Call]])&lt;=6, YEAR(calls[[#This Row],[Date of Call]]), YEAR(calls[[#This Row],[Date of Call]])+1)</f>
        <v>2024</v>
      </c>
      <c r="I958" t="str">
        <f>TEXT(calls[[#This Row],[Date of Call]],"DDDD")</f>
        <v>Monday</v>
      </c>
      <c r="J958" t="str">
        <f t="array" ref="J958">_xlfn.IFS(calls[[#This Row],[Duration]]&lt;=10,"Under 10 mins", calls[[#This Row],[Duration]]&lt;=30, "10 to 30 mins", calls[[#This Row],[Duration]]&lt;=60, "30 to 60 mins", calls[[#This Row],[Duration]]&lt;=120, "1 to 2 hours", TRUE, "More than 2 hours")</f>
        <v>1 to 2 hours</v>
      </c>
      <c r="K958">
        <f>ROUND(calls[[#This Row],[Satisfaction Rating]],0)</f>
        <v>4</v>
      </c>
    </row>
    <row r="959" spans="1:11" ht="13.8" x14ac:dyDescent="0.25">
      <c r="A959" t="s">
        <v>988</v>
      </c>
      <c r="B959" t="s">
        <v>31</v>
      </c>
      <c r="C959">
        <v>38</v>
      </c>
      <c r="D959" s="4" t="s">
        <v>28</v>
      </c>
      <c r="E959" s="5">
        <v>45265</v>
      </c>
      <c r="F959">
        <v>27</v>
      </c>
      <c r="G959">
        <v>3.1</v>
      </c>
      <c r="H959">
        <f>IF(MONTH(calls[[#This Row],[Date of Call]])&lt;=6, YEAR(calls[[#This Row],[Date of Call]]), YEAR(calls[[#This Row],[Date of Call]])+1)</f>
        <v>2024</v>
      </c>
      <c r="I959" t="str">
        <f>TEXT(calls[[#This Row],[Date of Call]],"DDDD")</f>
        <v>Tuesday</v>
      </c>
      <c r="J959" t="str">
        <f t="array" ref="J959">_xlfn.IFS(calls[[#This Row],[Duration]]&lt;=10,"Under 10 mins", calls[[#This Row],[Duration]]&lt;=30, "10 to 30 mins", calls[[#This Row],[Duration]]&lt;=60, "30 to 60 mins", calls[[#This Row],[Duration]]&lt;=120, "1 to 2 hours", TRUE, "More than 2 hours")</f>
        <v>30 to 60 mins</v>
      </c>
      <c r="K959">
        <f>ROUND(calls[[#This Row],[Satisfaction Rating]],0)</f>
        <v>3</v>
      </c>
    </row>
    <row r="960" spans="1:11" ht="13.8" x14ac:dyDescent="0.25">
      <c r="A960" t="s">
        <v>989</v>
      </c>
      <c r="B960" t="s">
        <v>35</v>
      </c>
      <c r="C960">
        <v>78</v>
      </c>
      <c r="D960" s="4" t="s">
        <v>28</v>
      </c>
      <c r="E960" s="5">
        <v>45267</v>
      </c>
      <c r="F960">
        <v>200</v>
      </c>
      <c r="G960">
        <v>2.4</v>
      </c>
      <c r="H960">
        <f>IF(MONTH(calls[[#This Row],[Date of Call]])&lt;=6, YEAR(calls[[#This Row],[Date of Call]]), YEAR(calls[[#This Row],[Date of Call]])+1)</f>
        <v>2024</v>
      </c>
      <c r="I960" t="str">
        <f>TEXT(calls[[#This Row],[Date of Call]],"DDDD")</f>
        <v>Thursday</v>
      </c>
      <c r="J960" t="str">
        <f t="array" ref="J960">_xlfn.IFS(calls[[#This Row],[Duration]]&lt;=10,"Under 10 mins", calls[[#This Row],[Duration]]&lt;=30, "10 to 30 mins", calls[[#This Row],[Duration]]&lt;=60, "30 to 60 mins", calls[[#This Row],[Duration]]&lt;=120, "1 to 2 hours", TRUE, "More than 2 hours")</f>
        <v>1 to 2 hours</v>
      </c>
      <c r="K960">
        <f>ROUND(calls[[#This Row],[Satisfaction Rating]],0)</f>
        <v>2</v>
      </c>
    </row>
    <row r="961" spans="1:11" ht="13.8" x14ac:dyDescent="0.25">
      <c r="A961" t="s">
        <v>990</v>
      </c>
      <c r="B961" t="s">
        <v>31</v>
      </c>
      <c r="C961">
        <v>25</v>
      </c>
      <c r="D961" s="4" t="s">
        <v>18</v>
      </c>
      <c r="E961" s="5">
        <v>45268</v>
      </c>
      <c r="F961">
        <v>93</v>
      </c>
      <c r="G961">
        <v>3.5</v>
      </c>
      <c r="H961">
        <f>IF(MONTH(calls[[#This Row],[Date of Call]])&lt;=6, YEAR(calls[[#This Row],[Date of Call]]), YEAR(calls[[#This Row],[Date of Call]])+1)</f>
        <v>2024</v>
      </c>
      <c r="I961" t="str">
        <f>TEXT(calls[[#This Row],[Date of Call]],"DDDD")</f>
        <v>Friday</v>
      </c>
      <c r="J961" t="str">
        <f t="array" ref="J961">_xlfn.IFS(calls[[#This Row],[Duration]]&lt;=10,"Under 10 mins", calls[[#This Row],[Duration]]&lt;=30, "10 to 30 mins", calls[[#This Row],[Duration]]&lt;=60, "30 to 60 mins", calls[[#This Row],[Duration]]&lt;=120, "1 to 2 hours", TRUE, "More than 2 hours")</f>
        <v>10 to 30 mins</v>
      </c>
      <c r="K961">
        <f>ROUND(calls[[#This Row],[Satisfaction Rating]],0)</f>
        <v>4</v>
      </c>
    </row>
    <row r="962" spans="1:11" ht="13.8" x14ac:dyDescent="0.25">
      <c r="A962" t="s">
        <v>991</v>
      </c>
      <c r="B962" t="s">
        <v>54</v>
      </c>
      <c r="C962">
        <v>50</v>
      </c>
      <c r="D962" s="4" t="s">
        <v>32</v>
      </c>
      <c r="E962" s="5">
        <v>45268</v>
      </c>
      <c r="F962">
        <v>54</v>
      </c>
      <c r="G962">
        <v>4.3</v>
      </c>
      <c r="H962">
        <f>IF(MONTH(calls[[#This Row],[Date of Call]])&lt;=6, YEAR(calls[[#This Row],[Date of Call]]), YEAR(calls[[#This Row],[Date of Call]])+1)</f>
        <v>2024</v>
      </c>
      <c r="I962" t="str">
        <f>TEXT(calls[[#This Row],[Date of Call]],"DDDD")</f>
        <v>Friday</v>
      </c>
      <c r="J962" t="str">
        <f t="array" ref="J962">_xlfn.IFS(calls[[#This Row],[Duration]]&lt;=10,"Under 10 mins", calls[[#This Row],[Duration]]&lt;=30, "10 to 30 mins", calls[[#This Row],[Duration]]&lt;=60, "30 to 60 mins", calls[[#This Row],[Duration]]&lt;=120, "1 to 2 hours", TRUE, "More than 2 hours")</f>
        <v>30 to 60 mins</v>
      </c>
      <c r="K962">
        <f>ROUND(calls[[#This Row],[Satisfaction Rating]],0)</f>
        <v>4</v>
      </c>
    </row>
    <row r="963" spans="1:11" ht="13.8" x14ac:dyDescent="0.25">
      <c r="A963" t="s">
        <v>992</v>
      </c>
      <c r="B963" t="s">
        <v>31</v>
      </c>
      <c r="C963">
        <v>103</v>
      </c>
      <c r="D963" s="4" t="s">
        <v>18</v>
      </c>
      <c r="E963" s="5">
        <v>45269</v>
      </c>
      <c r="F963">
        <v>72</v>
      </c>
      <c r="G963">
        <v>3.4</v>
      </c>
      <c r="H963">
        <f>IF(MONTH(calls[[#This Row],[Date of Call]])&lt;=6, YEAR(calls[[#This Row],[Date of Call]]), YEAR(calls[[#This Row],[Date of Call]])+1)</f>
        <v>2024</v>
      </c>
      <c r="I963" t="str">
        <f>TEXT(calls[[#This Row],[Date of Call]],"DDDD")</f>
        <v>Saturday</v>
      </c>
      <c r="J963" t="str">
        <f t="array" ref="J963">_xlfn.IFS(calls[[#This Row],[Duration]]&lt;=10,"Under 10 mins", calls[[#This Row],[Duration]]&lt;=30, "10 to 30 mins", calls[[#This Row],[Duration]]&lt;=60, "30 to 60 mins", calls[[#This Row],[Duration]]&lt;=120, "1 to 2 hours", TRUE, "More than 2 hours")</f>
        <v>1 to 2 hours</v>
      </c>
      <c r="K963">
        <f>ROUND(calls[[#This Row],[Satisfaction Rating]],0)</f>
        <v>3</v>
      </c>
    </row>
    <row r="964" spans="1:11" ht="13.8" x14ac:dyDescent="0.25">
      <c r="A964" t="s">
        <v>993</v>
      </c>
      <c r="B964" t="s">
        <v>43</v>
      </c>
      <c r="C964">
        <v>63</v>
      </c>
      <c r="D964" s="4" t="s">
        <v>23</v>
      </c>
      <c r="E964" s="5">
        <v>45269</v>
      </c>
      <c r="F964">
        <v>82</v>
      </c>
      <c r="G964">
        <v>3.7</v>
      </c>
      <c r="H964">
        <f>IF(MONTH(calls[[#This Row],[Date of Call]])&lt;=6, YEAR(calls[[#This Row],[Date of Call]]), YEAR(calls[[#This Row],[Date of Call]])+1)</f>
        <v>2024</v>
      </c>
      <c r="I964" t="str">
        <f>TEXT(calls[[#This Row],[Date of Call]],"DDDD")</f>
        <v>Saturday</v>
      </c>
      <c r="J964" t="str">
        <f t="array" ref="J964">_xlfn.IFS(calls[[#This Row],[Duration]]&lt;=10,"Under 10 mins", calls[[#This Row],[Duration]]&lt;=30, "10 to 30 mins", calls[[#This Row],[Duration]]&lt;=60, "30 to 60 mins", calls[[#This Row],[Duration]]&lt;=120, "1 to 2 hours", TRUE, "More than 2 hours")</f>
        <v>1 to 2 hours</v>
      </c>
      <c r="K964">
        <f>ROUND(calls[[#This Row],[Satisfaction Rating]],0)</f>
        <v>4</v>
      </c>
    </row>
    <row r="965" spans="1:11" ht="13.8" x14ac:dyDescent="0.25">
      <c r="A965" t="s">
        <v>994</v>
      </c>
      <c r="B965" t="s">
        <v>54</v>
      </c>
      <c r="C965">
        <v>96</v>
      </c>
      <c r="D965" s="4" t="s">
        <v>32</v>
      </c>
      <c r="E965" s="5">
        <v>45273</v>
      </c>
      <c r="F965">
        <v>164</v>
      </c>
      <c r="G965">
        <v>4.8</v>
      </c>
      <c r="H965">
        <f>IF(MONTH(calls[[#This Row],[Date of Call]])&lt;=6, YEAR(calls[[#This Row],[Date of Call]]), YEAR(calls[[#This Row],[Date of Call]])+1)</f>
        <v>2024</v>
      </c>
      <c r="I965" t="str">
        <f>TEXT(calls[[#This Row],[Date of Call]],"DDDD")</f>
        <v>Wednesday</v>
      </c>
      <c r="J965" t="str">
        <f t="array" ref="J965">_xlfn.IFS(calls[[#This Row],[Duration]]&lt;=10,"Under 10 mins", calls[[#This Row],[Duration]]&lt;=30, "10 to 30 mins", calls[[#This Row],[Duration]]&lt;=60, "30 to 60 mins", calls[[#This Row],[Duration]]&lt;=120, "1 to 2 hours", TRUE, "More than 2 hours")</f>
        <v>1 to 2 hours</v>
      </c>
      <c r="K965">
        <f>ROUND(calls[[#This Row],[Satisfaction Rating]],0)</f>
        <v>5</v>
      </c>
    </row>
    <row r="966" spans="1:11" ht="13.8" x14ac:dyDescent="0.25">
      <c r="A966" t="s">
        <v>995</v>
      </c>
      <c r="B966" t="s">
        <v>17</v>
      </c>
      <c r="C966">
        <v>94</v>
      </c>
      <c r="D966" s="4" t="s">
        <v>18</v>
      </c>
      <c r="E966" s="5">
        <v>45273</v>
      </c>
      <c r="F966">
        <v>78</v>
      </c>
      <c r="G966">
        <v>3.3</v>
      </c>
      <c r="H966">
        <f>IF(MONTH(calls[[#This Row],[Date of Call]])&lt;=6, YEAR(calls[[#This Row],[Date of Call]]), YEAR(calls[[#This Row],[Date of Call]])+1)</f>
        <v>2024</v>
      </c>
      <c r="I966" t="str">
        <f>TEXT(calls[[#This Row],[Date of Call]],"DDDD")</f>
        <v>Wednesday</v>
      </c>
      <c r="J966" t="str">
        <f t="array" ref="J966">_xlfn.IFS(calls[[#This Row],[Duration]]&lt;=10,"Under 10 mins", calls[[#This Row],[Duration]]&lt;=30, "10 to 30 mins", calls[[#This Row],[Duration]]&lt;=60, "30 to 60 mins", calls[[#This Row],[Duration]]&lt;=120, "1 to 2 hours", TRUE, "More than 2 hours")</f>
        <v>1 to 2 hours</v>
      </c>
      <c r="K966">
        <f>ROUND(calls[[#This Row],[Satisfaction Rating]],0)</f>
        <v>3</v>
      </c>
    </row>
    <row r="967" spans="1:11" ht="13.8" x14ac:dyDescent="0.25">
      <c r="A967" t="s">
        <v>996</v>
      </c>
      <c r="B967" t="s">
        <v>46</v>
      </c>
      <c r="C967">
        <v>46</v>
      </c>
      <c r="D967" s="4" t="s">
        <v>28</v>
      </c>
      <c r="E967" s="5">
        <v>45274</v>
      </c>
      <c r="F967">
        <v>135</v>
      </c>
      <c r="G967">
        <v>4.2</v>
      </c>
      <c r="H967">
        <f>IF(MONTH(calls[[#This Row],[Date of Call]])&lt;=6, YEAR(calls[[#This Row],[Date of Call]]), YEAR(calls[[#This Row],[Date of Call]])+1)</f>
        <v>2024</v>
      </c>
      <c r="I967" t="str">
        <f>TEXT(calls[[#This Row],[Date of Call]],"DDDD")</f>
        <v>Thursday</v>
      </c>
      <c r="J967" t="str">
        <f t="array" ref="J967">_xlfn.IFS(calls[[#This Row],[Duration]]&lt;=10,"Under 10 mins", calls[[#This Row],[Duration]]&lt;=30, "10 to 30 mins", calls[[#This Row],[Duration]]&lt;=60, "30 to 60 mins", calls[[#This Row],[Duration]]&lt;=120, "1 to 2 hours", TRUE, "More than 2 hours")</f>
        <v>30 to 60 mins</v>
      </c>
      <c r="K967">
        <f>ROUND(calls[[#This Row],[Satisfaction Rating]],0)</f>
        <v>4</v>
      </c>
    </row>
    <row r="968" spans="1:11" ht="13.8" x14ac:dyDescent="0.25">
      <c r="A968" t="s">
        <v>997</v>
      </c>
      <c r="B968" t="s">
        <v>84</v>
      </c>
      <c r="C968">
        <v>127</v>
      </c>
      <c r="D968" s="4" t="s">
        <v>32</v>
      </c>
      <c r="E968" s="5">
        <v>45275</v>
      </c>
      <c r="F968">
        <v>145</v>
      </c>
      <c r="G968">
        <v>2.6</v>
      </c>
      <c r="H968">
        <f>IF(MONTH(calls[[#This Row],[Date of Call]])&lt;=6, YEAR(calls[[#This Row],[Date of Call]]), YEAR(calls[[#This Row],[Date of Call]])+1)</f>
        <v>2024</v>
      </c>
      <c r="I968" t="str">
        <f>TEXT(calls[[#This Row],[Date of Call]],"DDDD")</f>
        <v>Friday</v>
      </c>
      <c r="J968" t="str">
        <f t="array" ref="J968">_xlfn.IFS(calls[[#This Row],[Duration]]&lt;=10,"Under 10 mins", calls[[#This Row],[Duration]]&lt;=30, "10 to 30 mins", calls[[#This Row],[Duration]]&lt;=60, "30 to 60 mins", calls[[#This Row],[Duration]]&lt;=120, "1 to 2 hours", TRUE, "More than 2 hours")</f>
        <v>More than 2 hours</v>
      </c>
      <c r="K968">
        <f>ROUND(calls[[#This Row],[Satisfaction Rating]],0)</f>
        <v>3</v>
      </c>
    </row>
    <row r="969" spans="1:11" ht="13.8" x14ac:dyDescent="0.25">
      <c r="A969" t="s">
        <v>998</v>
      </c>
      <c r="B969" t="s">
        <v>26</v>
      </c>
      <c r="C969">
        <v>96</v>
      </c>
      <c r="D969" s="4" t="s">
        <v>28</v>
      </c>
      <c r="E969" s="5">
        <v>45275</v>
      </c>
      <c r="F969">
        <v>115</v>
      </c>
      <c r="G969">
        <v>4.9000000000000004</v>
      </c>
      <c r="H969">
        <f>IF(MONTH(calls[[#This Row],[Date of Call]])&lt;=6, YEAR(calls[[#This Row],[Date of Call]]), YEAR(calls[[#This Row],[Date of Call]])+1)</f>
        <v>2024</v>
      </c>
      <c r="I969" t="str">
        <f>TEXT(calls[[#This Row],[Date of Call]],"DDDD")</f>
        <v>Friday</v>
      </c>
      <c r="J969" t="str">
        <f t="array" ref="J969">_xlfn.IFS(calls[[#This Row],[Duration]]&lt;=10,"Under 10 mins", calls[[#This Row],[Duration]]&lt;=30, "10 to 30 mins", calls[[#This Row],[Duration]]&lt;=60, "30 to 60 mins", calls[[#This Row],[Duration]]&lt;=120, "1 to 2 hours", TRUE, "More than 2 hours")</f>
        <v>1 to 2 hours</v>
      </c>
      <c r="K969">
        <f>ROUND(calls[[#This Row],[Satisfaction Rating]],0)</f>
        <v>5</v>
      </c>
    </row>
    <row r="970" spans="1:11" ht="13.8" x14ac:dyDescent="0.25">
      <c r="A970" t="s">
        <v>999</v>
      </c>
      <c r="B970" t="s">
        <v>64</v>
      </c>
      <c r="C970">
        <v>151</v>
      </c>
      <c r="D970" s="4" t="s">
        <v>18</v>
      </c>
      <c r="E970" s="5">
        <v>45275</v>
      </c>
      <c r="F970">
        <v>117</v>
      </c>
      <c r="G970">
        <v>2</v>
      </c>
      <c r="H970">
        <f>IF(MONTH(calls[[#This Row],[Date of Call]])&lt;=6, YEAR(calls[[#This Row],[Date of Call]]), YEAR(calls[[#This Row],[Date of Call]])+1)</f>
        <v>2024</v>
      </c>
      <c r="I970" t="str">
        <f>TEXT(calls[[#This Row],[Date of Call]],"DDDD")</f>
        <v>Friday</v>
      </c>
      <c r="J970" t="str">
        <f t="array" ref="J970">_xlfn.IFS(calls[[#This Row],[Duration]]&lt;=10,"Under 10 mins", calls[[#This Row],[Duration]]&lt;=30, "10 to 30 mins", calls[[#This Row],[Duration]]&lt;=60, "30 to 60 mins", calls[[#This Row],[Duration]]&lt;=120, "1 to 2 hours", TRUE, "More than 2 hours")</f>
        <v>More than 2 hours</v>
      </c>
      <c r="K970">
        <f>ROUND(calls[[#This Row],[Satisfaction Rating]],0)</f>
        <v>2</v>
      </c>
    </row>
    <row r="971" spans="1:11" ht="13.8" x14ac:dyDescent="0.25">
      <c r="A971" t="s">
        <v>1000</v>
      </c>
      <c r="B971" t="s">
        <v>84</v>
      </c>
      <c r="C971">
        <v>158</v>
      </c>
      <c r="D971" s="4" t="s">
        <v>13</v>
      </c>
      <c r="E971" s="5">
        <v>45276</v>
      </c>
      <c r="F971">
        <v>36</v>
      </c>
      <c r="G971">
        <v>4.7</v>
      </c>
      <c r="H971">
        <f>IF(MONTH(calls[[#This Row],[Date of Call]])&lt;=6, YEAR(calls[[#This Row],[Date of Call]]), YEAR(calls[[#This Row],[Date of Call]])+1)</f>
        <v>2024</v>
      </c>
      <c r="I971" t="str">
        <f>TEXT(calls[[#This Row],[Date of Call]],"DDDD")</f>
        <v>Saturday</v>
      </c>
      <c r="J971" t="str">
        <f t="array" ref="J971">_xlfn.IFS(calls[[#This Row],[Duration]]&lt;=10,"Under 10 mins", calls[[#This Row],[Duration]]&lt;=30, "10 to 30 mins", calls[[#This Row],[Duration]]&lt;=60, "30 to 60 mins", calls[[#This Row],[Duration]]&lt;=120, "1 to 2 hours", TRUE, "More than 2 hours")</f>
        <v>More than 2 hours</v>
      </c>
      <c r="K971">
        <f>ROUND(calls[[#This Row],[Satisfaction Rating]],0)</f>
        <v>5</v>
      </c>
    </row>
    <row r="972" spans="1:11" ht="13.8" x14ac:dyDescent="0.25">
      <c r="A972" t="s">
        <v>1001</v>
      </c>
      <c r="B972" t="s">
        <v>17</v>
      </c>
      <c r="C972">
        <v>45</v>
      </c>
      <c r="D972" s="4" t="s">
        <v>13</v>
      </c>
      <c r="E972" s="5">
        <v>45276</v>
      </c>
      <c r="F972">
        <v>84</v>
      </c>
      <c r="G972">
        <v>2.8</v>
      </c>
      <c r="H972">
        <f>IF(MONTH(calls[[#This Row],[Date of Call]])&lt;=6, YEAR(calls[[#This Row],[Date of Call]]), YEAR(calls[[#This Row],[Date of Call]])+1)</f>
        <v>2024</v>
      </c>
      <c r="I972" t="str">
        <f>TEXT(calls[[#This Row],[Date of Call]],"DDDD")</f>
        <v>Saturday</v>
      </c>
      <c r="J972" t="str">
        <f t="array" ref="J972">_xlfn.IFS(calls[[#This Row],[Duration]]&lt;=10,"Under 10 mins", calls[[#This Row],[Duration]]&lt;=30, "10 to 30 mins", calls[[#This Row],[Duration]]&lt;=60, "30 to 60 mins", calls[[#This Row],[Duration]]&lt;=120, "1 to 2 hours", TRUE, "More than 2 hours")</f>
        <v>30 to 60 mins</v>
      </c>
      <c r="K972">
        <f>ROUND(calls[[#This Row],[Satisfaction Rating]],0)</f>
        <v>3</v>
      </c>
    </row>
    <row r="973" spans="1:11" ht="13.8" x14ac:dyDescent="0.25">
      <c r="A973" t="s">
        <v>1002</v>
      </c>
      <c r="B973" t="s">
        <v>37</v>
      </c>
      <c r="C973">
        <v>141</v>
      </c>
      <c r="D973" s="4" t="s">
        <v>13</v>
      </c>
      <c r="E973" s="5">
        <v>45276</v>
      </c>
      <c r="F973">
        <v>66</v>
      </c>
      <c r="G973">
        <v>3.2</v>
      </c>
      <c r="H973">
        <f>IF(MONTH(calls[[#This Row],[Date of Call]])&lt;=6, YEAR(calls[[#This Row],[Date of Call]]), YEAR(calls[[#This Row],[Date of Call]])+1)</f>
        <v>2024</v>
      </c>
      <c r="I973" t="str">
        <f>TEXT(calls[[#This Row],[Date of Call]],"DDDD")</f>
        <v>Saturday</v>
      </c>
      <c r="J973" t="str">
        <f t="array" ref="J973">_xlfn.IFS(calls[[#This Row],[Duration]]&lt;=10,"Under 10 mins", calls[[#This Row],[Duration]]&lt;=30, "10 to 30 mins", calls[[#This Row],[Duration]]&lt;=60, "30 to 60 mins", calls[[#This Row],[Duration]]&lt;=120, "1 to 2 hours", TRUE, "More than 2 hours")</f>
        <v>More than 2 hours</v>
      </c>
      <c r="K973">
        <f>ROUND(calls[[#This Row],[Satisfaction Rating]],0)</f>
        <v>3</v>
      </c>
    </row>
    <row r="974" spans="1:11" ht="13.8" x14ac:dyDescent="0.25">
      <c r="A974" t="s">
        <v>1003</v>
      </c>
      <c r="B974" t="s">
        <v>31</v>
      </c>
      <c r="C974">
        <v>147</v>
      </c>
      <c r="D974" s="4" t="s">
        <v>28</v>
      </c>
      <c r="E974" s="5">
        <v>45276</v>
      </c>
      <c r="F974">
        <v>76</v>
      </c>
      <c r="G974">
        <v>4.7</v>
      </c>
      <c r="H974">
        <f>IF(MONTH(calls[[#This Row],[Date of Call]])&lt;=6, YEAR(calls[[#This Row],[Date of Call]]), YEAR(calls[[#This Row],[Date of Call]])+1)</f>
        <v>2024</v>
      </c>
      <c r="I974" t="str">
        <f>TEXT(calls[[#This Row],[Date of Call]],"DDDD")</f>
        <v>Saturday</v>
      </c>
      <c r="J974" t="str">
        <f t="array" ref="J974">_xlfn.IFS(calls[[#This Row],[Duration]]&lt;=10,"Under 10 mins", calls[[#This Row],[Duration]]&lt;=30, "10 to 30 mins", calls[[#This Row],[Duration]]&lt;=60, "30 to 60 mins", calls[[#This Row],[Duration]]&lt;=120, "1 to 2 hours", TRUE, "More than 2 hours")</f>
        <v>More than 2 hours</v>
      </c>
      <c r="K974">
        <f>ROUND(calls[[#This Row],[Satisfaction Rating]],0)</f>
        <v>5</v>
      </c>
    </row>
    <row r="975" spans="1:11" ht="13.8" x14ac:dyDescent="0.25">
      <c r="A975" t="s">
        <v>1004</v>
      </c>
      <c r="B975" t="s">
        <v>51</v>
      </c>
      <c r="C975">
        <v>126</v>
      </c>
      <c r="D975" s="4" t="s">
        <v>28</v>
      </c>
      <c r="E975" s="5">
        <v>45276</v>
      </c>
      <c r="F975">
        <v>185</v>
      </c>
      <c r="G975">
        <v>4.8</v>
      </c>
      <c r="H975">
        <f>IF(MONTH(calls[[#This Row],[Date of Call]])&lt;=6, YEAR(calls[[#This Row],[Date of Call]]), YEAR(calls[[#This Row],[Date of Call]])+1)</f>
        <v>2024</v>
      </c>
      <c r="I975" t="str">
        <f>TEXT(calls[[#This Row],[Date of Call]],"DDDD")</f>
        <v>Saturday</v>
      </c>
      <c r="J975" t="str">
        <f t="array" ref="J975">_xlfn.IFS(calls[[#This Row],[Duration]]&lt;=10,"Under 10 mins", calls[[#This Row],[Duration]]&lt;=30, "10 to 30 mins", calls[[#This Row],[Duration]]&lt;=60, "30 to 60 mins", calls[[#This Row],[Duration]]&lt;=120, "1 to 2 hours", TRUE, "More than 2 hours")</f>
        <v>More than 2 hours</v>
      </c>
      <c r="K975">
        <f>ROUND(calls[[#This Row],[Satisfaction Rating]],0)</f>
        <v>5</v>
      </c>
    </row>
    <row r="976" spans="1:11" ht="13.8" x14ac:dyDescent="0.25">
      <c r="A976" t="s">
        <v>1005</v>
      </c>
      <c r="B976" t="s">
        <v>17</v>
      </c>
      <c r="C976">
        <v>126</v>
      </c>
      <c r="D976" s="4" t="s">
        <v>23</v>
      </c>
      <c r="E976" s="5">
        <v>45277</v>
      </c>
      <c r="F976">
        <v>80</v>
      </c>
      <c r="G976">
        <v>4.7</v>
      </c>
      <c r="H976">
        <f>IF(MONTH(calls[[#This Row],[Date of Call]])&lt;=6, YEAR(calls[[#This Row],[Date of Call]]), YEAR(calls[[#This Row],[Date of Call]])+1)</f>
        <v>2024</v>
      </c>
      <c r="I976" t="str">
        <f>TEXT(calls[[#This Row],[Date of Call]],"DDDD")</f>
        <v>Sunday</v>
      </c>
      <c r="J976" t="str">
        <f t="array" ref="J976">_xlfn.IFS(calls[[#This Row],[Duration]]&lt;=10,"Under 10 mins", calls[[#This Row],[Duration]]&lt;=30, "10 to 30 mins", calls[[#This Row],[Duration]]&lt;=60, "30 to 60 mins", calls[[#This Row],[Duration]]&lt;=120, "1 to 2 hours", TRUE, "More than 2 hours")</f>
        <v>More than 2 hours</v>
      </c>
      <c r="K976">
        <f>ROUND(calls[[#This Row],[Satisfaction Rating]],0)</f>
        <v>5</v>
      </c>
    </row>
    <row r="977" spans="1:11" ht="13.8" x14ac:dyDescent="0.25">
      <c r="A977" t="s">
        <v>1006</v>
      </c>
      <c r="B977" t="s">
        <v>35</v>
      </c>
      <c r="C977">
        <v>32</v>
      </c>
      <c r="D977" s="4" t="s">
        <v>28</v>
      </c>
      <c r="E977" s="5">
        <v>45277</v>
      </c>
      <c r="F977">
        <v>148</v>
      </c>
      <c r="G977">
        <v>4</v>
      </c>
      <c r="H977">
        <f>IF(MONTH(calls[[#This Row],[Date of Call]])&lt;=6, YEAR(calls[[#This Row],[Date of Call]]), YEAR(calls[[#This Row],[Date of Call]])+1)</f>
        <v>2024</v>
      </c>
      <c r="I977" t="str">
        <f>TEXT(calls[[#This Row],[Date of Call]],"DDDD")</f>
        <v>Sunday</v>
      </c>
      <c r="J977" t="str">
        <f t="array" ref="J977">_xlfn.IFS(calls[[#This Row],[Duration]]&lt;=10,"Under 10 mins", calls[[#This Row],[Duration]]&lt;=30, "10 to 30 mins", calls[[#This Row],[Duration]]&lt;=60, "30 to 60 mins", calls[[#This Row],[Duration]]&lt;=120, "1 to 2 hours", TRUE, "More than 2 hours")</f>
        <v>30 to 60 mins</v>
      </c>
      <c r="K977">
        <f>ROUND(calls[[#This Row],[Satisfaction Rating]],0)</f>
        <v>4</v>
      </c>
    </row>
    <row r="978" spans="1:11" ht="13.8" x14ac:dyDescent="0.25">
      <c r="A978" t="s">
        <v>1007</v>
      </c>
      <c r="B978" t="s">
        <v>17</v>
      </c>
      <c r="C978">
        <v>84</v>
      </c>
      <c r="D978" s="4" t="s">
        <v>32</v>
      </c>
      <c r="E978" s="5">
        <v>45279</v>
      </c>
      <c r="F978">
        <v>180</v>
      </c>
      <c r="G978">
        <v>4.9000000000000004</v>
      </c>
      <c r="H978">
        <f>IF(MONTH(calls[[#This Row],[Date of Call]])&lt;=6, YEAR(calls[[#This Row],[Date of Call]]), YEAR(calls[[#This Row],[Date of Call]])+1)</f>
        <v>2024</v>
      </c>
      <c r="I978" t="str">
        <f>TEXT(calls[[#This Row],[Date of Call]],"DDDD")</f>
        <v>Tuesday</v>
      </c>
      <c r="J978" t="str">
        <f t="array" ref="J978">_xlfn.IFS(calls[[#This Row],[Duration]]&lt;=10,"Under 10 mins", calls[[#This Row],[Duration]]&lt;=30, "10 to 30 mins", calls[[#This Row],[Duration]]&lt;=60, "30 to 60 mins", calls[[#This Row],[Duration]]&lt;=120, "1 to 2 hours", TRUE, "More than 2 hours")</f>
        <v>1 to 2 hours</v>
      </c>
      <c r="K978">
        <f>ROUND(calls[[#This Row],[Satisfaction Rating]],0)</f>
        <v>5</v>
      </c>
    </row>
    <row r="979" spans="1:11" ht="13.8" x14ac:dyDescent="0.25">
      <c r="A979" t="s">
        <v>1008</v>
      </c>
      <c r="B979" t="s">
        <v>43</v>
      </c>
      <c r="C979">
        <v>120</v>
      </c>
      <c r="D979" s="4" t="s">
        <v>23</v>
      </c>
      <c r="E979" s="5">
        <v>45280</v>
      </c>
      <c r="F979">
        <v>190</v>
      </c>
      <c r="G979">
        <v>3.7</v>
      </c>
      <c r="H979">
        <f>IF(MONTH(calls[[#This Row],[Date of Call]])&lt;=6, YEAR(calls[[#This Row],[Date of Call]]), YEAR(calls[[#This Row],[Date of Call]])+1)</f>
        <v>2024</v>
      </c>
      <c r="I979" t="str">
        <f>TEXT(calls[[#This Row],[Date of Call]],"DDDD")</f>
        <v>Wednesday</v>
      </c>
      <c r="J979" t="str">
        <f t="array" ref="J979">_xlfn.IFS(calls[[#This Row],[Duration]]&lt;=10,"Under 10 mins", calls[[#This Row],[Duration]]&lt;=30, "10 to 30 mins", calls[[#This Row],[Duration]]&lt;=60, "30 to 60 mins", calls[[#This Row],[Duration]]&lt;=120, "1 to 2 hours", TRUE, "More than 2 hours")</f>
        <v>1 to 2 hours</v>
      </c>
      <c r="K979">
        <f>ROUND(calls[[#This Row],[Satisfaction Rating]],0)</f>
        <v>4</v>
      </c>
    </row>
    <row r="980" spans="1:11" ht="13.8" x14ac:dyDescent="0.25">
      <c r="A980" t="s">
        <v>1009</v>
      </c>
      <c r="B980" t="s">
        <v>22</v>
      </c>
      <c r="C980">
        <v>93</v>
      </c>
      <c r="D980" s="4" t="s">
        <v>28</v>
      </c>
      <c r="E980" s="5">
        <v>45280</v>
      </c>
      <c r="F980">
        <v>38</v>
      </c>
      <c r="G980">
        <v>4.5</v>
      </c>
      <c r="H980">
        <f>IF(MONTH(calls[[#This Row],[Date of Call]])&lt;=6, YEAR(calls[[#This Row],[Date of Call]]), YEAR(calls[[#This Row],[Date of Call]])+1)</f>
        <v>2024</v>
      </c>
      <c r="I980" t="str">
        <f>TEXT(calls[[#This Row],[Date of Call]],"DDDD")</f>
        <v>Wednesday</v>
      </c>
      <c r="J980" t="str">
        <f t="array" ref="J980">_xlfn.IFS(calls[[#This Row],[Duration]]&lt;=10,"Under 10 mins", calls[[#This Row],[Duration]]&lt;=30, "10 to 30 mins", calls[[#This Row],[Duration]]&lt;=60, "30 to 60 mins", calls[[#This Row],[Duration]]&lt;=120, "1 to 2 hours", TRUE, "More than 2 hours")</f>
        <v>1 to 2 hours</v>
      </c>
      <c r="K980">
        <f>ROUND(calls[[#This Row],[Satisfaction Rating]],0)</f>
        <v>5</v>
      </c>
    </row>
    <row r="981" spans="1:11" ht="13.8" x14ac:dyDescent="0.25">
      <c r="A981" t="s">
        <v>1010</v>
      </c>
      <c r="B981" t="s">
        <v>26</v>
      </c>
      <c r="C981">
        <v>76</v>
      </c>
      <c r="D981" s="4" t="s">
        <v>18</v>
      </c>
      <c r="E981" s="5">
        <v>45281</v>
      </c>
      <c r="F981">
        <v>82</v>
      </c>
      <c r="G981">
        <v>2.1</v>
      </c>
      <c r="H981">
        <f>IF(MONTH(calls[[#This Row],[Date of Call]])&lt;=6, YEAR(calls[[#This Row],[Date of Call]]), YEAR(calls[[#This Row],[Date of Call]])+1)</f>
        <v>2024</v>
      </c>
      <c r="I981" t="str">
        <f>TEXT(calls[[#This Row],[Date of Call]],"DDDD")</f>
        <v>Thursday</v>
      </c>
      <c r="J981" t="str">
        <f t="array" ref="J981">_xlfn.IFS(calls[[#This Row],[Duration]]&lt;=10,"Under 10 mins", calls[[#This Row],[Duration]]&lt;=30, "10 to 30 mins", calls[[#This Row],[Duration]]&lt;=60, "30 to 60 mins", calls[[#This Row],[Duration]]&lt;=120, "1 to 2 hours", TRUE, "More than 2 hours")</f>
        <v>1 to 2 hours</v>
      </c>
      <c r="K981">
        <f>ROUND(calls[[#This Row],[Satisfaction Rating]],0)</f>
        <v>2</v>
      </c>
    </row>
    <row r="982" spans="1:11" ht="13.8" x14ac:dyDescent="0.25">
      <c r="A982" t="s">
        <v>1011</v>
      </c>
      <c r="B982" t="s">
        <v>84</v>
      </c>
      <c r="C982">
        <v>89</v>
      </c>
      <c r="D982" s="4" t="s">
        <v>28</v>
      </c>
      <c r="E982" s="5">
        <v>45284</v>
      </c>
      <c r="F982">
        <v>88</v>
      </c>
      <c r="G982">
        <v>2.8</v>
      </c>
      <c r="H982">
        <f>IF(MONTH(calls[[#This Row],[Date of Call]])&lt;=6, YEAR(calls[[#This Row],[Date of Call]]), YEAR(calls[[#This Row],[Date of Call]])+1)</f>
        <v>2024</v>
      </c>
      <c r="I982" t="str">
        <f>TEXT(calls[[#This Row],[Date of Call]],"DDDD")</f>
        <v>Sunday</v>
      </c>
      <c r="J982" t="str">
        <f t="array" ref="J982">_xlfn.IFS(calls[[#This Row],[Duration]]&lt;=10,"Under 10 mins", calls[[#This Row],[Duration]]&lt;=30, "10 to 30 mins", calls[[#This Row],[Duration]]&lt;=60, "30 to 60 mins", calls[[#This Row],[Duration]]&lt;=120, "1 to 2 hours", TRUE, "More than 2 hours")</f>
        <v>1 to 2 hours</v>
      </c>
      <c r="K982">
        <f>ROUND(calls[[#This Row],[Satisfaction Rating]],0)</f>
        <v>3</v>
      </c>
    </row>
    <row r="983" spans="1:11" ht="13.8" x14ac:dyDescent="0.25">
      <c r="A983" t="s">
        <v>1012</v>
      </c>
      <c r="B983" t="s">
        <v>20</v>
      </c>
      <c r="C983">
        <v>91</v>
      </c>
      <c r="D983" s="4" t="s">
        <v>32</v>
      </c>
      <c r="E983" s="5">
        <v>45284</v>
      </c>
      <c r="F983">
        <v>42</v>
      </c>
      <c r="G983">
        <v>4.0999999999999996</v>
      </c>
      <c r="H983">
        <f>IF(MONTH(calls[[#This Row],[Date of Call]])&lt;=6, YEAR(calls[[#This Row],[Date of Call]]), YEAR(calls[[#This Row],[Date of Call]])+1)</f>
        <v>2024</v>
      </c>
      <c r="I983" t="str">
        <f>TEXT(calls[[#This Row],[Date of Call]],"DDDD")</f>
        <v>Sunday</v>
      </c>
      <c r="J983" t="str">
        <f t="array" ref="J983">_xlfn.IFS(calls[[#This Row],[Duration]]&lt;=10,"Under 10 mins", calls[[#This Row],[Duration]]&lt;=30, "10 to 30 mins", calls[[#This Row],[Duration]]&lt;=60, "30 to 60 mins", calls[[#This Row],[Duration]]&lt;=120, "1 to 2 hours", TRUE, "More than 2 hours")</f>
        <v>1 to 2 hours</v>
      </c>
      <c r="K983">
        <f>ROUND(calls[[#This Row],[Satisfaction Rating]],0)</f>
        <v>4</v>
      </c>
    </row>
    <row r="984" spans="1:11" ht="13.8" x14ac:dyDescent="0.25">
      <c r="A984" t="s">
        <v>1013</v>
      </c>
      <c r="B984" t="s">
        <v>46</v>
      </c>
      <c r="C984">
        <v>7</v>
      </c>
      <c r="D984" s="4" t="s">
        <v>13</v>
      </c>
      <c r="E984" s="5">
        <v>45285</v>
      </c>
      <c r="F984">
        <v>64</v>
      </c>
      <c r="G984">
        <v>3.3</v>
      </c>
      <c r="H984">
        <f>IF(MONTH(calls[[#This Row],[Date of Call]])&lt;=6, YEAR(calls[[#This Row],[Date of Call]]), YEAR(calls[[#This Row],[Date of Call]])+1)</f>
        <v>2024</v>
      </c>
      <c r="I984" t="str">
        <f>TEXT(calls[[#This Row],[Date of Call]],"DDDD")</f>
        <v>Monday</v>
      </c>
      <c r="J984" t="str">
        <f t="array" ref="J984">_xlfn.IFS(calls[[#This Row],[Duration]]&lt;=10,"Under 10 mins", calls[[#This Row],[Duration]]&lt;=30, "10 to 30 mins", calls[[#This Row],[Duration]]&lt;=60, "30 to 60 mins", calls[[#This Row],[Duration]]&lt;=120, "1 to 2 hours", TRUE, "More than 2 hours")</f>
        <v>Under 10 mins</v>
      </c>
      <c r="K984">
        <f>ROUND(calls[[#This Row],[Satisfaction Rating]],0)</f>
        <v>3</v>
      </c>
    </row>
    <row r="985" spans="1:11" ht="13.8" x14ac:dyDescent="0.25">
      <c r="A985" t="s">
        <v>1014</v>
      </c>
      <c r="B985" t="s">
        <v>35</v>
      </c>
      <c r="C985">
        <v>140</v>
      </c>
      <c r="D985" s="4" t="s">
        <v>13</v>
      </c>
      <c r="E985" s="5">
        <v>45285</v>
      </c>
      <c r="F985">
        <v>105</v>
      </c>
      <c r="G985">
        <v>1.7</v>
      </c>
      <c r="H985">
        <f>IF(MONTH(calls[[#This Row],[Date of Call]])&lt;=6, YEAR(calls[[#This Row],[Date of Call]]), YEAR(calls[[#This Row],[Date of Call]])+1)</f>
        <v>2024</v>
      </c>
      <c r="I985" t="str">
        <f>TEXT(calls[[#This Row],[Date of Call]],"DDDD")</f>
        <v>Monday</v>
      </c>
      <c r="J985" t="str">
        <f t="array" ref="J985">_xlfn.IFS(calls[[#This Row],[Duration]]&lt;=10,"Under 10 mins", calls[[#This Row],[Duration]]&lt;=30, "10 to 30 mins", calls[[#This Row],[Duration]]&lt;=60, "30 to 60 mins", calls[[#This Row],[Duration]]&lt;=120, "1 to 2 hours", TRUE, "More than 2 hours")</f>
        <v>More than 2 hours</v>
      </c>
      <c r="K985">
        <f>ROUND(calls[[#This Row],[Satisfaction Rating]],0)</f>
        <v>2</v>
      </c>
    </row>
    <row r="986" spans="1:11" ht="13.8" x14ac:dyDescent="0.25">
      <c r="A986" t="s">
        <v>1015</v>
      </c>
      <c r="B986" t="s">
        <v>15</v>
      </c>
      <c r="C986">
        <v>58</v>
      </c>
      <c r="D986" s="4" t="s">
        <v>23</v>
      </c>
      <c r="E986" s="5">
        <v>45285</v>
      </c>
      <c r="F986">
        <v>25</v>
      </c>
      <c r="G986">
        <v>3.6</v>
      </c>
      <c r="H986">
        <f>IF(MONTH(calls[[#This Row],[Date of Call]])&lt;=6, YEAR(calls[[#This Row],[Date of Call]]), YEAR(calls[[#This Row],[Date of Call]])+1)</f>
        <v>2024</v>
      </c>
      <c r="I986" t="str">
        <f>TEXT(calls[[#This Row],[Date of Call]],"DDDD")</f>
        <v>Monday</v>
      </c>
      <c r="J986" t="str">
        <f t="array" ref="J986">_xlfn.IFS(calls[[#This Row],[Duration]]&lt;=10,"Under 10 mins", calls[[#This Row],[Duration]]&lt;=30, "10 to 30 mins", calls[[#This Row],[Duration]]&lt;=60, "30 to 60 mins", calls[[#This Row],[Duration]]&lt;=120, "1 to 2 hours", TRUE, "More than 2 hours")</f>
        <v>30 to 60 mins</v>
      </c>
      <c r="K986">
        <f>ROUND(calls[[#This Row],[Satisfaction Rating]],0)</f>
        <v>4</v>
      </c>
    </row>
    <row r="987" spans="1:11" ht="13.8" x14ac:dyDescent="0.25">
      <c r="A987" t="s">
        <v>1016</v>
      </c>
      <c r="B987" t="s">
        <v>12</v>
      </c>
      <c r="C987">
        <v>90</v>
      </c>
      <c r="D987" s="4" t="s">
        <v>18</v>
      </c>
      <c r="E987" s="5">
        <v>45286</v>
      </c>
      <c r="F987">
        <v>176</v>
      </c>
      <c r="G987">
        <v>3.6</v>
      </c>
      <c r="H987">
        <f>IF(MONTH(calls[[#This Row],[Date of Call]])&lt;=6, YEAR(calls[[#This Row],[Date of Call]]), YEAR(calls[[#This Row],[Date of Call]])+1)</f>
        <v>2024</v>
      </c>
      <c r="I987" t="str">
        <f>TEXT(calls[[#This Row],[Date of Call]],"DDDD")</f>
        <v>Tuesday</v>
      </c>
      <c r="J987" t="str">
        <f t="array" ref="J987">_xlfn.IFS(calls[[#This Row],[Duration]]&lt;=10,"Under 10 mins", calls[[#This Row],[Duration]]&lt;=30, "10 to 30 mins", calls[[#This Row],[Duration]]&lt;=60, "30 to 60 mins", calls[[#This Row],[Duration]]&lt;=120, "1 to 2 hours", TRUE, "More than 2 hours")</f>
        <v>1 to 2 hours</v>
      </c>
      <c r="K987">
        <f>ROUND(calls[[#This Row],[Satisfaction Rating]],0)</f>
        <v>4</v>
      </c>
    </row>
    <row r="988" spans="1:11" ht="13.8" x14ac:dyDescent="0.25">
      <c r="A988" t="s">
        <v>1017</v>
      </c>
      <c r="B988" t="s">
        <v>12</v>
      </c>
      <c r="C988">
        <v>106</v>
      </c>
      <c r="D988" s="4" t="s">
        <v>28</v>
      </c>
      <c r="E988" s="5">
        <v>45287</v>
      </c>
      <c r="F988">
        <v>46</v>
      </c>
      <c r="G988">
        <v>4.5999999999999996</v>
      </c>
      <c r="H988">
        <f>IF(MONTH(calls[[#This Row],[Date of Call]])&lt;=6, YEAR(calls[[#This Row],[Date of Call]]), YEAR(calls[[#This Row],[Date of Call]])+1)</f>
        <v>2024</v>
      </c>
      <c r="I988" t="str">
        <f>TEXT(calls[[#This Row],[Date of Call]],"DDDD")</f>
        <v>Wednesday</v>
      </c>
      <c r="J988" t="str">
        <f t="array" ref="J988">_xlfn.IFS(calls[[#This Row],[Duration]]&lt;=10,"Under 10 mins", calls[[#This Row],[Duration]]&lt;=30, "10 to 30 mins", calls[[#This Row],[Duration]]&lt;=60, "30 to 60 mins", calls[[#This Row],[Duration]]&lt;=120, "1 to 2 hours", TRUE, "More than 2 hours")</f>
        <v>1 to 2 hours</v>
      </c>
      <c r="K988">
        <f>ROUND(calls[[#This Row],[Satisfaction Rating]],0)</f>
        <v>5</v>
      </c>
    </row>
    <row r="989" spans="1:11" ht="13.8" x14ac:dyDescent="0.25">
      <c r="A989" t="s">
        <v>1018</v>
      </c>
      <c r="B989" t="s">
        <v>43</v>
      </c>
      <c r="C989">
        <v>72</v>
      </c>
      <c r="D989" s="4" t="s">
        <v>13</v>
      </c>
      <c r="E989" s="5">
        <v>45287</v>
      </c>
      <c r="F989">
        <v>164</v>
      </c>
      <c r="G989">
        <v>4.8</v>
      </c>
      <c r="H989">
        <f>IF(MONTH(calls[[#This Row],[Date of Call]])&lt;=6, YEAR(calls[[#This Row],[Date of Call]]), YEAR(calls[[#This Row],[Date of Call]])+1)</f>
        <v>2024</v>
      </c>
      <c r="I989" t="str">
        <f>TEXT(calls[[#This Row],[Date of Call]],"DDDD")</f>
        <v>Wednesday</v>
      </c>
      <c r="J989" t="str">
        <f t="array" ref="J989">_xlfn.IFS(calls[[#This Row],[Duration]]&lt;=10,"Under 10 mins", calls[[#This Row],[Duration]]&lt;=30, "10 to 30 mins", calls[[#This Row],[Duration]]&lt;=60, "30 to 60 mins", calls[[#This Row],[Duration]]&lt;=120, "1 to 2 hours", TRUE, "More than 2 hours")</f>
        <v>1 to 2 hours</v>
      </c>
      <c r="K989">
        <f>ROUND(calls[[#This Row],[Satisfaction Rating]],0)</f>
        <v>5</v>
      </c>
    </row>
    <row r="990" spans="1:11" ht="13.8" x14ac:dyDescent="0.25">
      <c r="A990" t="s">
        <v>1019</v>
      </c>
      <c r="B990" t="s">
        <v>46</v>
      </c>
      <c r="C990">
        <v>124</v>
      </c>
      <c r="D990" s="4" t="s">
        <v>13</v>
      </c>
      <c r="E990" s="5">
        <v>45288</v>
      </c>
      <c r="F990">
        <v>64</v>
      </c>
      <c r="G990">
        <v>4.5</v>
      </c>
      <c r="H990">
        <f>IF(MONTH(calls[[#This Row],[Date of Call]])&lt;=6, YEAR(calls[[#This Row],[Date of Call]]), YEAR(calls[[#This Row],[Date of Call]])+1)</f>
        <v>2024</v>
      </c>
      <c r="I990" t="str">
        <f>TEXT(calls[[#This Row],[Date of Call]],"DDDD")</f>
        <v>Thursday</v>
      </c>
      <c r="J990" t="str">
        <f t="array" ref="J990">_xlfn.IFS(calls[[#This Row],[Duration]]&lt;=10,"Under 10 mins", calls[[#This Row],[Duration]]&lt;=30, "10 to 30 mins", calls[[#This Row],[Duration]]&lt;=60, "30 to 60 mins", calls[[#This Row],[Duration]]&lt;=120, "1 to 2 hours", TRUE, "More than 2 hours")</f>
        <v>More than 2 hours</v>
      </c>
      <c r="K990">
        <f>ROUND(calls[[#This Row],[Satisfaction Rating]],0)</f>
        <v>5</v>
      </c>
    </row>
    <row r="991" spans="1:11" ht="13.8" x14ac:dyDescent="0.25">
      <c r="A991" t="s">
        <v>1020</v>
      </c>
      <c r="B991" t="s">
        <v>37</v>
      </c>
      <c r="C991">
        <v>86</v>
      </c>
      <c r="D991" s="4" t="s">
        <v>32</v>
      </c>
      <c r="E991" s="5">
        <v>45288</v>
      </c>
      <c r="F991">
        <v>205</v>
      </c>
      <c r="G991">
        <v>4.5</v>
      </c>
      <c r="H991">
        <f>IF(MONTH(calls[[#This Row],[Date of Call]])&lt;=6, YEAR(calls[[#This Row],[Date of Call]]), YEAR(calls[[#This Row],[Date of Call]])+1)</f>
        <v>2024</v>
      </c>
      <c r="I991" t="str">
        <f>TEXT(calls[[#This Row],[Date of Call]],"DDDD")</f>
        <v>Thursday</v>
      </c>
      <c r="J991" t="str">
        <f t="array" ref="J991">_xlfn.IFS(calls[[#This Row],[Duration]]&lt;=10,"Under 10 mins", calls[[#This Row],[Duration]]&lt;=30, "10 to 30 mins", calls[[#This Row],[Duration]]&lt;=60, "30 to 60 mins", calls[[#This Row],[Duration]]&lt;=120, "1 to 2 hours", TRUE, "More than 2 hours")</f>
        <v>1 to 2 hours</v>
      </c>
      <c r="K991">
        <f>ROUND(calls[[#This Row],[Satisfaction Rating]],0)</f>
        <v>5</v>
      </c>
    </row>
    <row r="992" spans="1:11" ht="13.8" x14ac:dyDescent="0.25">
      <c r="A992" t="s">
        <v>1021</v>
      </c>
      <c r="B992" t="s">
        <v>17</v>
      </c>
      <c r="C992">
        <v>164</v>
      </c>
      <c r="D992" s="4" t="s">
        <v>32</v>
      </c>
      <c r="E992" s="5">
        <v>45289</v>
      </c>
      <c r="F992">
        <v>100</v>
      </c>
      <c r="G992">
        <v>4.5999999999999996</v>
      </c>
      <c r="H992">
        <f>IF(MONTH(calls[[#This Row],[Date of Call]])&lt;=6, YEAR(calls[[#This Row],[Date of Call]]), YEAR(calls[[#This Row],[Date of Call]])+1)</f>
        <v>2024</v>
      </c>
      <c r="I992" t="str">
        <f>TEXT(calls[[#This Row],[Date of Call]],"DDDD")</f>
        <v>Friday</v>
      </c>
      <c r="J992" t="str">
        <f t="array" ref="J992">_xlfn.IFS(calls[[#This Row],[Duration]]&lt;=10,"Under 10 mins", calls[[#This Row],[Duration]]&lt;=30, "10 to 30 mins", calls[[#This Row],[Duration]]&lt;=60, "30 to 60 mins", calls[[#This Row],[Duration]]&lt;=120, "1 to 2 hours", TRUE, "More than 2 hours")</f>
        <v>More than 2 hours</v>
      </c>
      <c r="K992">
        <f>ROUND(calls[[#This Row],[Satisfaction Rating]],0)</f>
        <v>5</v>
      </c>
    </row>
    <row r="993" spans="1:11" ht="13.8" x14ac:dyDescent="0.25">
      <c r="A993" t="s">
        <v>1022</v>
      </c>
      <c r="B993" t="s">
        <v>22</v>
      </c>
      <c r="C993">
        <v>40</v>
      </c>
      <c r="D993" s="4" t="s">
        <v>18</v>
      </c>
      <c r="E993" s="5">
        <v>45289</v>
      </c>
      <c r="F993">
        <v>111</v>
      </c>
      <c r="G993">
        <v>4.5999999999999996</v>
      </c>
      <c r="H993">
        <f>IF(MONTH(calls[[#This Row],[Date of Call]])&lt;=6, YEAR(calls[[#This Row],[Date of Call]]), YEAR(calls[[#This Row],[Date of Call]])+1)</f>
        <v>2024</v>
      </c>
      <c r="I993" t="str">
        <f>TEXT(calls[[#This Row],[Date of Call]],"DDDD")</f>
        <v>Friday</v>
      </c>
      <c r="J993" t="str">
        <f t="array" ref="J993">_xlfn.IFS(calls[[#This Row],[Duration]]&lt;=10,"Under 10 mins", calls[[#This Row],[Duration]]&lt;=30, "10 to 30 mins", calls[[#This Row],[Duration]]&lt;=60, "30 to 60 mins", calls[[#This Row],[Duration]]&lt;=120, "1 to 2 hours", TRUE, "More than 2 hours")</f>
        <v>30 to 60 mins</v>
      </c>
      <c r="K993">
        <f>ROUND(calls[[#This Row],[Satisfaction Rating]],0)</f>
        <v>5</v>
      </c>
    </row>
    <row r="994" spans="1:11" ht="13.8" x14ac:dyDescent="0.25">
      <c r="A994" t="s">
        <v>1023</v>
      </c>
      <c r="B994" t="s">
        <v>20</v>
      </c>
      <c r="C994">
        <v>76</v>
      </c>
      <c r="D994" s="4" t="s">
        <v>23</v>
      </c>
      <c r="E994" s="5">
        <v>45289</v>
      </c>
      <c r="F994">
        <v>80</v>
      </c>
      <c r="G994">
        <v>3.5</v>
      </c>
      <c r="H994">
        <f>IF(MONTH(calls[[#This Row],[Date of Call]])&lt;=6, YEAR(calls[[#This Row],[Date of Call]]), YEAR(calls[[#This Row],[Date of Call]])+1)</f>
        <v>2024</v>
      </c>
      <c r="I994" t="str">
        <f>TEXT(calls[[#This Row],[Date of Call]],"DDDD")</f>
        <v>Friday</v>
      </c>
      <c r="J994" t="str">
        <f t="array" ref="J994">_xlfn.IFS(calls[[#This Row],[Duration]]&lt;=10,"Under 10 mins", calls[[#This Row],[Duration]]&lt;=30, "10 to 30 mins", calls[[#This Row],[Duration]]&lt;=60, "30 to 60 mins", calls[[#This Row],[Duration]]&lt;=120, "1 to 2 hours", TRUE, "More than 2 hours")</f>
        <v>1 to 2 hours</v>
      </c>
      <c r="K994">
        <f>ROUND(calls[[#This Row],[Satisfaction Rating]],0)</f>
        <v>4</v>
      </c>
    </row>
    <row r="995" spans="1:11" ht="13.8" x14ac:dyDescent="0.25">
      <c r="A995" t="s">
        <v>1024</v>
      </c>
      <c r="B995" t="s">
        <v>46</v>
      </c>
      <c r="C995">
        <v>95</v>
      </c>
      <c r="D995" s="4" t="s">
        <v>28</v>
      </c>
      <c r="E995" s="5">
        <v>45289</v>
      </c>
      <c r="F995">
        <v>50</v>
      </c>
      <c r="G995">
        <v>2.9</v>
      </c>
      <c r="H995">
        <f>IF(MONTH(calls[[#This Row],[Date of Call]])&lt;=6, YEAR(calls[[#This Row],[Date of Call]]), YEAR(calls[[#This Row],[Date of Call]])+1)</f>
        <v>2024</v>
      </c>
      <c r="I995" t="str">
        <f>TEXT(calls[[#This Row],[Date of Call]],"DDDD")</f>
        <v>Friday</v>
      </c>
      <c r="J995" t="str">
        <f t="array" ref="J995">_xlfn.IFS(calls[[#This Row],[Duration]]&lt;=10,"Under 10 mins", calls[[#This Row],[Duration]]&lt;=30, "10 to 30 mins", calls[[#This Row],[Duration]]&lt;=60, "30 to 60 mins", calls[[#This Row],[Duration]]&lt;=120, "1 to 2 hours", TRUE, "More than 2 hours")</f>
        <v>1 to 2 hours</v>
      </c>
      <c r="K995">
        <f>ROUND(calls[[#This Row],[Satisfaction Rating]],0)</f>
        <v>3</v>
      </c>
    </row>
    <row r="996" spans="1:11" ht="13.8" x14ac:dyDescent="0.25">
      <c r="A996" t="s">
        <v>1025</v>
      </c>
      <c r="B996" t="s">
        <v>20</v>
      </c>
      <c r="C996">
        <v>113</v>
      </c>
      <c r="D996" s="4" t="s">
        <v>13</v>
      </c>
      <c r="E996" s="5">
        <v>45290</v>
      </c>
      <c r="F996">
        <v>165</v>
      </c>
      <c r="G996">
        <v>4.7</v>
      </c>
      <c r="H996">
        <f>IF(MONTH(calls[[#This Row],[Date of Call]])&lt;=6, YEAR(calls[[#This Row],[Date of Call]]), YEAR(calls[[#This Row],[Date of Call]])+1)</f>
        <v>2024</v>
      </c>
      <c r="I996" t="str">
        <f>TEXT(calls[[#This Row],[Date of Call]],"DDDD")</f>
        <v>Saturday</v>
      </c>
      <c r="J996" t="str">
        <f t="array" ref="J996">_xlfn.IFS(calls[[#This Row],[Duration]]&lt;=10,"Under 10 mins", calls[[#This Row],[Duration]]&lt;=30, "10 to 30 mins", calls[[#This Row],[Duration]]&lt;=60, "30 to 60 mins", calls[[#This Row],[Duration]]&lt;=120, "1 to 2 hours", TRUE, "More than 2 hours")</f>
        <v>1 to 2 hours</v>
      </c>
      <c r="K996">
        <f>ROUND(calls[[#This Row],[Satisfaction Rating]],0)</f>
        <v>5</v>
      </c>
    </row>
    <row r="997" spans="1:11" ht="13.8" x14ac:dyDescent="0.25">
      <c r="A997" t="s">
        <v>1026</v>
      </c>
      <c r="B997" t="s">
        <v>37</v>
      </c>
      <c r="C997">
        <v>81</v>
      </c>
      <c r="D997" s="4" t="s">
        <v>13</v>
      </c>
      <c r="E997" s="5">
        <v>45290</v>
      </c>
      <c r="F997">
        <v>28</v>
      </c>
      <c r="G997">
        <v>3.9</v>
      </c>
      <c r="H997">
        <f>IF(MONTH(calls[[#This Row],[Date of Call]])&lt;=6, YEAR(calls[[#This Row],[Date of Call]]), YEAR(calls[[#This Row],[Date of Call]])+1)</f>
        <v>2024</v>
      </c>
      <c r="I997" t="str">
        <f>TEXT(calls[[#This Row],[Date of Call]],"DDDD")</f>
        <v>Saturday</v>
      </c>
      <c r="J997" t="str">
        <f t="array" ref="J997">_xlfn.IFS(calls[[#This Row],[Duration]]&lt;=10,"Under 10 mins", calls[[#This Row],[Duration]]&lt;=30, "10 to 30 mins", calls[[#This Row],[Duration]]&lt;=60, "30 to 60 mins", calls[[#This Row],[Duration]]&lt;=120, "1 to 2 hours", TRUE, "More than 2 hours")</f>
        <v>1 to 2 hours</v>
      </c>
      <c r="K997">
        <f>ROUND(calls[[#This Row],[Satisfaction Rating]],0)</f>
        <v>4</v>
      </c>
    </row>
    <row r="998" spans="1:11" ht="13.8" x14ac:dyDescent="0.25">
      <c r="A998" t="s">
        <v>1027</v>
      </c>
      <c r="B998" t="s">
        <v>26</v>
      </c>
      <c r="C998">
        <v>127</v>
      </c>
      <c r="D998" s="4" t="s">
        <v>28</v>
      </c>
      <c r="E998" s="5">
        <v>45290</v>
      </c>
      <c r="F998">
        <v>215</v>
      </c>
      <c r="G998">
        <v>3.8</v>
      </c>
      <c r="H998">
        <f>IF(MONTH(calls[[#This Row],[Date of Call]])&lt;=6, YEAR(calls[[#This Row],[Date of Call]]), YEAR(calls[[#This Row],[Date of Call]])+1)</f>
        <v>2024</v>
      </c>
      <c r="I998" t="str">
        <f>TEXT(calls[[#This Row],[Date of Call]],"DDDD")</f>
        <v>Saturday</v>
      </c>
      <c r="J998" t="str">
        <f t="array" ref="J998">_xlfn.IFS(calls[[#This Row],[Duration]]&lt;=10,"Under 10 mins", calls[[#This Row],[Duration]]&lt;=30, "10 to 30 mins", calls[[#This Row],[Duration]]&lt;=60, "30 to 60 mins", calls[[#This Row],[Duration]]&lt;=120, "1 to 2 hours", TRUE, "More than 2 hours")</f>
        <v>More than 2 hours</v>
      </c>
      <c r="K998">
        <f>ROUND(calls[[#This Row],[Satisfaction Rating]],0)</f>
        <v>4</v>
      </c>
    </row>
    <row r="999" spans="1:11" ht="13.8" x14ac:dyDescent="0.25">
      <c r="A999" t="s">
        <v>1028</v>
      </c>
      <c r="B999" t="s">
        <v>35</v>
      </c>
      <c r="C999">
        <v>146</v>
      </c>
      <c r="D999" s="4" t="s">
        <v>13</v>
      </c>
      <c r="E999" s="5">
        <v>45291</v>
      </c>
      <c r="F999">
        <v>115</v>
      </c>
      <c r="G999">
        <v>2.2999999999999998</v>
      </c>
      <c r="H999">
        <f>IF(MONTH(calls[[#This Row],[Date of Call]])&lt;=6, YEAR(calls[[#This Row],[Date of Call]]), YEAR(calls[[#This Row],[Date of Call]])+1)</f>
        <v>2024</v>
      </c>
      <c r="I999" t="str">
        <f>TEXT(calls[[#This Row],[Date of Call]],"DDDD")</f>
        <v>Sunday</v>
      </c>
      <c r="J999" t="str">
        <f t="array" ref="J999">_xlfn.IFS(calls[[#This Row],[Duration]]&lt;=10,"Under 10 mins", calls[[#This Row],[Duration]]&lt;=30, "10 to 30 mins", calls[[#This Row],[Duration]]&lt;=60, "30 to 60 mins", calls[[#This Row],[Duration]]&lt;=120, "1 to 2 hours", TRUE, "More than 2 hours")</f>
        <v>More than 2 hours</v>
      </c>
      <c r="K999">
        <f>ROUND(calls[[#This Row],[Satisfaction Rating]],0)</f>
        <v>2</v>
      </c>
    </row>
    <row r="1000" spans="1:11" ht="13.8" x14ac:dyDescent="0.25">
      <c r="A1000" t="s">
        <v>1029</v>
      </c>
      <c r="B1000" t="s">
        <v>31</v>
      </c>
      <c r="C1000">
        <v>123</v>
      </c>
      <c r="D1000" s="4" t="s">
        <v>13</v>
      </c>
      <c r="E1000" s="5">
        <v>45291</v>
      </c>
      <c r="F1000">
        <v>64</v>
      </c>
      <c r="G1000">
        <v>3.7</v>
      </c>
      <c r="H1000">
        <f>IF(MONTH(calls[[#This Row],[Date of Call]])&lt;=6, YEAR(calls[[#This Row],[Date of Call]]), YEAR(calls[[#This Row],[Date of Call]])+1)</f>
        <v>2024</v>
      </c>
      <c r="I1000" t="str">
        <f>TEXT(calls[[#This Row],[Date of Call]],"DDDD")</f>
        <v>Sunday</v>
      </c>
      <c r="J1000" t="str">
        <f t="array" ref="J1000">_xlfn.IFS(calls[[#This Row],[Duration]]&lt;=10,"Under 10 mins", calls[[#This Row],[Duration]]&lt;=30, "10 to 30 mins", calls[[#This Row],[Duration]]&lt;=60, "30 to 60 mins", calls[[#This Row],[Duration]]&lt;=120, "1 to 2 hours", TRUE, "More than 2 hours")</f>
        <v>More than 2 hours</v>
      </c>
      <c r="K1000">
        <f>ROUND(calls[[#This Row],[Satisfaction Rating]],0)</f>
        <v>4</v>
      </c>
    </row>
    <row r="1001" spans="1:11" ht="13.8" x14ac:dyDescent="0.25">
      <c r="A1001" t="s">
        <v>1030</v>
      </c>
      <c r="B1001" t="s">
        <v>43</v>
      </c>
      <c r="C1001">
        <v>114</v>
      </c>
      <c r="D1001" s="4" t="s">
        <v>23</v>
      </c>
      <c r="E1001" s="5">
        <v>45291</v>
      </c>
      <c r="F1001">
        <v>40</v>
      </c>
      <c r="G1001">
        <v>3.9</v>
      </c>
      <c r="H1001">
        <f>IF(MONTH(calls[[#This Row],[Date of Call]])&lt;=6, YEAR(calls[[#This Row],[Date of Call]]), YEAR(calls[[#This Row],[Date of Call]])+1)</f>
        <v>2024</v>
      </c>
      <c r="I1001" t="str">
        <f>TEXT(calls[[#This Row],[Date of Call]],"DDDD")</f>
        <v>Sunday</v>
      </c>
      <c r="J1001" t="str">
        <f t="array" ref="J1001">_xlfn.IFS(calls[[#This Row],[Duration]]&lt;=10,"Under 10 mins", calls[[#This Row],[Duration]]&lt;=30, "10 to 30 mins", calls[[#This Row],[Duration]]&lt;=60, "30 to 60 mins", calls[[#This Row],[Duration]]&lt;=120, "1 to 2 hours", TRUE, "More than 2 hours")</f>
        <v>1 to 2 hours</v>
      </c>
      <c r="K1001">
        <f>ROUND(calls[[#This Row],[Satisfaction Rating]],0)</f>
        <v>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Center 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R</dc:creator>
  <cp:lastModifiedBy>Vishnu R</cp:lastModifiedBy>
  <dcterms:created xsi:type="dcterms:W3CDTF">2026-03-30T06:35:31Z</dcterms:created>
  <dcterms:modified xsi:type="dcterms:W3CDTF">2026-03-30T11:50:40Z</dcterms:modified>
</cp:coreProperties>
</file>