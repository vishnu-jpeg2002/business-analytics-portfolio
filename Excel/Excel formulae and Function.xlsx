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xcel\Output\"/>
    </mc:Choice>
  </mc:AlternateContent>
  <xr:revisionPtr revIDLastSave="0" documentId="13_ncr:1_{DACF4671-197C-4967-9845-82522BBE9EB3}" xr6:coauthVersionLast="47" xr6:coauthVersionMax="47" xr10:uidLastSave="{00000000-0000-0000-0000-000000000000}"/>
  <bookViews>
    <workbookView xWindow="-108" yWindow="-108" windowWidth="23256" windowHeight="12576" activeTab="4" xr2:uid="{E142BAE7-98EA-4B60-BD5D-4EB41F389279}"/>
  </bookViews>
  <sheets>
    <sheet name="Concepts" sheetId="2" r:id="rId1"/>
    <sheet name="Data" sheetId="1" r:id="rId2"/>
    <sheet name="Count,Sum,Avg ifs" sheetId="3" r:id="rId3"/>
    <sheet name="Min,Max,Large" sheetId="4" r:id="rId4"/>
    <sheet name="VLOOKUP, MATCH, INDEX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6" l="1"/>
  <c r="D17" i="6"/>
  <c r="D16" i="6"/>
  <c r="D15" i="6"/>
  <c r="D11" i="6"/>
  <c r="D10" i="6"/>
  <c r="D9" i="6"/>
  <c r="D8" i="6"/>
  <c r="F7" i="4"/>
  <c r="E7" i="4"/>
  <c r="F6" i="4"/>
  <c r="E6" i="4"/>
  <c r="D10" i="4"/>
  <c r="D8" i="4"/>
  <c r="D9" i="4"/>
  <c r="D7" i="4"/>
  <c r="D6" i="4"/>
  <c r="E2" i="3"/>
  <c r="E3" i="3"/>
  <c r="E4" i="3"/>
  <c r="E5" i="3"/>
  <c r="E6" i="3"/>
  <c r="E7" i="3"/>
  <c r="E8" i="3"/>
  <c r="E9" i="3"/>
  <c r="E10" i="3"/>
  <c r="E11" i="3"/>
  <c r="E12" i="3"/>
  <c r="E13" i="3"/>
  <c r="D3" i="3"/>
  <c r="D4" i="3"/>
  <c r="D5" i="3"/>
  <c r="D6" i="3"/>
  <c r="D7" i="3"/>
  <c r="D8" i="3"/>
  <c r="D9" i="3"/>
  <c r="D10" i="3"/>
  <c r="D11" i="3"/>
  <c r="D12" i="3"/>
  <c r="D13" i="3"/>
  <c r="D2" i="3"/>
  <c r="C3" i="3"/>
  <c r="C4" i="3"/>
  <c r="C5" i="3"/>
  <c r="C6" i="3"/>
  <c r="C7" i="3"/>
  <c r="C8" i="3"/>
  <c r="C9" i="3"/>
  <c r="C10" i="3"/>
  <c r="C11" i="3"/>
  <c r="C12" i="3"/>
  <c r="C13" i="3"/>
  <c r="C2" i="3"/>
  <c r="B3" i="3"/>
  <c r="B4" i="3"/>
  <c r="B5" i="3"/>
  <c r="B6" i="3"/>
  <c r="B7" i="3"/>
  <c r="B8" i="3"/>
  <c r="B9" i="3"/>
  <c r="B10" i="3"/>
  <c r="B11" i="3"/>
  <c r="B12" i="3"/>
  <c r="B13" i="3"/>
  <c r="B2" i="3"/>
</calcChain>
</file>

<file path=xl/sharedStrings.xml><?xml version="1.0" encoding="utf-8"?>
<sst xmlns="http://schemas.openxmlformats.org/spreadsheetml/2006/main" count="2420" uniqueCount="781">
  <si>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</si>
  <si>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</si>
  <si>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</si>
  <si>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</si>
  <si>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</si>
  <si>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</si>
  <si>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</si>
  <si>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</si>
  <si>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</si>
  <si>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</si>
  <si>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</si>
  <si>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</si>
  <si>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</si>
  <si>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</si>
  <si>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</si>
  <si>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</si>
  <si>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</si>
  <si>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</si>
  <si>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</si>
  <si>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</si>
  <si>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</si>
  <si>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</si>
  <si>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</si>
  <si>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</si>
  <si>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</si>
  <si>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</si>
  <si>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</si>
  <si>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</si>
  <si>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</si>
  <si>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</si>
  <si>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</si>
  <si>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</si>
  <si>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</si>
  <si>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</si>
  <si>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</si>
  <si>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</si>
  <si>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</si>
  <si>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</si>
  <si>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</si>
  <si>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</si>
  <si>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</si>
  <si>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</si>
  <si>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</si>
  <si>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</si>
  <si>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</si>
  <si>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</si>
  <si>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</si>
  <si>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</si>
  <si>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</si>
  <si>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</si>
  <si>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</si>
  <si>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</si>
  <si>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</si>
  <si>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</si>
  <si>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</si>
  <si>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</si>
  <si>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</si>
  <si>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</si>
  <si>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</si>
  <si>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</si>
  <si>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</si>
  <si>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</si>
  <si>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</si>
  <si>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</si>
  <si>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</si>
  <si>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</si>
  <si>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</si>
  <si>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</si>
  <si>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</si>
  <si>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</si>
  <si>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</si>
  <si>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</si>
  <si>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</si>
  <si>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</si>
  <si>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</si>
  <si>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</si>
  <si>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</si>
  <si>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</si>
  <si>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</si>
  <si>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</si>
  <si>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</si>
  <si>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</si>
  <si>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</si>
  <si>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</si>
  <si>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</si>
  <si>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</si>
  <si>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</si>
  <si>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</si>
  <si>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</si>
  <si>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</si>
  <si>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</si>
  <si>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</si>
  <si>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</si>
  <si>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</si>
  <si>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</si>
  <si>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</si>
  <si>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</si>
  <si>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</si>
  <si>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</si>
  <si>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</si>
  <si>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</si>
  <si>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</si>
  <si>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</si>
  <si>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</si>
  <si>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</si>
  <si>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</si>
  <si>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</si>
  <si>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</si>
  <si>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</si>
  <si>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</si>
  <si>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</si>
  <si>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</si>
  <si>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</si>
  <si>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</si>
  <si>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</si>
  <si>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</si>
  <si>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</si>
  <si>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</si>
  <si>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</si>
  <si>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</si>
  <si>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</si>
  <si>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</si>
  <si>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</si>
  <si>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</si>
  <si>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</si>
  <si>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</si>
  <si>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</si>
  <si>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</si>
  <si>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</si>
  <si>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</si>
  <si>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</si>
  <si>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</si>
  <si>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</si>
  <si>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</si>
  <si>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</si>
  <si>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</si>
  <si>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</si>
  <si>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</si>
  <si>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</si>
  <si>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</si>
  <si>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</si>
  <si>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</si>
  <si>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</si>
  <si>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</si>
  <si>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</si>
  <si>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</si>
  <si>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</si>
  <si>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</si>
  <si>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</si>
  <si>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</si>
  <si>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</si>
  <si>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</si>
  <si>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</si>
  <si>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</si>
  <si>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</si>
  <si>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</si>
  <si>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</si>
  <si>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</si>
  <si>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</si>
  <si>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</si>
  <si>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</si>
  <si>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</si>
  <si>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</si>
  <si>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</si>
  <si>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</si>
  <si>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</si>
  <si>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</si>
  <si>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</si>
  <si>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</si>
  <si>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</si>
  <si>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</si>
  <si>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</si>
  <si>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</si>
  <si>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</si>
  <si>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</si>
  <si>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</si>
  <si>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</si>
  <si>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</si>
  <si>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</si>
  <si>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</si>
  <si>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</si>
  <si>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</si>
  <si>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</si>
  <si>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</si>
  <si>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</si>
  <si>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</si>
  <si>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</si>
  <si>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</si>
  <si>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</si>
  <si>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</si>
  <si>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</si>
  <si>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</si>
  <si>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</si>
  <si>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</si>
  <si>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</si>
  <si>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</si>
  <si>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</si>
  <si>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</si>
  <si>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</si>
  <si>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</si>
  <si>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</si>
  <si>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</si>
  <si>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</si>
  <si>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</si>
  <si>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</si>
  <si>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</si>
  <si>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</si>
  <si>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</si>
  <si>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</si>
  <si>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</si>
  <si>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</si>
  <si>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</si>
  <si>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</si>
  <si>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</si>
  <si>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</si>
  <si>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</si>
  <si>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</si>
  <si>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</si>
  <si>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</si>
  <si>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</si>
  <si>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</si>
  <si>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</si>
  <si>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</si>
  <si>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</si>
  <si>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</si>
  <si>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</si>
  <si>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</si>
  <si>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</si>
  <si>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</si>
  <si>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</si>
  <si>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</si>
  <si>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</si>
  <si>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</si>
  <si>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</si>
  <si>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</si>
  <si>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</si>
  <si>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</si>
  <si>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</si>
  <si>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</si>
  <si>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</si>
  <si>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</si>
  <si>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</si>
  <si>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</si>
  <si>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</si>
  <si>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</si>
  <si>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</si>
  <si>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</si>
  <si>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</si>
  <si>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</si>
  <si>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</si>
  <si>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</si>
  <si>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</si>
  <si>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</si>
  <si>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</si>
  <si>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</si>
  <si>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</si>
  <si>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</si>
  <si>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</si>
  <si>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</si>
  <si>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</si>
  <si>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</si>
  <si>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</si>
  <si>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</si>
  <si>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</si>
  <si>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</si>
  <si>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</si>
  <si>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</si>
  <si>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</si>
  <si>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</si>
  <si>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</si>
  <si>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</si>
  <si>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</si>
  <si>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</si>
  <si>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</si>
  <si>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</si>
  <si>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</si>
  <si>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</si>
  <si>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</si>
  <si>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</si>
  <si>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</si>
  <si>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</si>
  <si>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</si>
  <si>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</si>
  <si>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</si>
  <si>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</si>
  <si>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</si>
  <si>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</si>
  <si>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</si>
  <si>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</si>
  <si>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</si>
  <si>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</si>
  <si>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</si>
  <si>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</si>
  <si>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</si>
  <si>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</si>
  <si>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</si>
  <si>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</si>
  <si>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</si>
  <si>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</si>
  <si>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</si>
  <si>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</si>
  <si>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</si>
  <si>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</si>
  <si>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</si>
  <si>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</si>
  <si>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</si>
  <si>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</si>
  <si>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</si>
  <si>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</si>
  <si>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</si>
  <si>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</si>
  <si>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</si>
  <si>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</si>
  <si>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</si>
  <si>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</si>
  <si>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</si>
  <si>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</si>
  <si>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</si>
  <si>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</si>
  <si>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</si>
  <si>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</si>
  <si>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</si>
  <si>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</si>
  <si>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</si>
  <si>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</si>
  <si>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</si>
  <si>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</si>
  <si>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</si>
  <si>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</si>
  <si>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</si>
  <si>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</si>
  <si>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</si>
  <si>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</si>
  <si>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</si>
  <si>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</si>
  <si>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</si>
  <si>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</si>
  <si>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</si>
  <si>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</si>
  <si>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</si>
  <si>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</si>
  <si>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</si>
  <si>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</si>
  <si>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</si>
  <si>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</si>
  <si>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</si>
  <si>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</si>
  <si>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</si>
  <si>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</si>
  <si>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</si>
  <si>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</si>
  <si>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</si>
  <si>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</si>
  <si>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</si>
  <si>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</si>
  <si>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</si>
  <si>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</si>
  <si>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</si>
  <si>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</si>
  <si>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</si>
  <si>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</si>
  <si>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</si>
  <si>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</si>
  <si>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</si>
  <si>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</si>
  <si>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</si>
  <si>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</si>
  <si>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</si>
  <si>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</si>
  <si>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</si>
  <si>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</si>
  <si>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</si>
  <si>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</si>
  <si>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</si>
  <si>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</si>
  <si>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</si>
  <si>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</si>
  <si>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</si>
  <si>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</si>
  <si>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</si>
  <si>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</si>
  <si>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</si>
  <si>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</si>
  <si>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</si>
  <si>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</si>
  <si>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</si>
  <si>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</si>
  <si>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</si>
  <si>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</si>
  <si>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</si>
  <si>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</si>
  <si>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</si>
  <si>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</si>
  <si>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</si>
  <si>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</si>
  <si>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</si>
  <si>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</si>
  <si>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</si>
  <si>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</si>
  <si>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</si>
  <si>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</si>
  <si>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</si>
  <si>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</si>
  <si>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</si>
  <si>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</si>
  <si>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</si>
  <si>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</si>
  <si>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</si>
  <si>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</si>
  <si>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</si>
  <si>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</si>
  <si>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</si>
  <si>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</si>
  <si>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</si>
  <si>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</si>
  <si>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</si>
  <si>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</si>
  <si>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</si>
  <si>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</si>
  <si>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</si>
  <si>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</si>
  <si>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</si>
  <si>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</si>
  <si>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</si>
  <si>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</si>
  <si>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</si>
  <si>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</si>
  <si>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</si>
  <si>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</si>
  <si>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</si>
  <si>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</si>
  <si>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</si>
  <si>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</si>
  <si>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</si>
  <si>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</si>
  <si>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</si>
  <si>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</si>
  <si>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</si>
  <si>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</si>
  <si>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</si>
  <si>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</si>
  <si>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</si>
  <si>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</si>
  <si>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</si>
  <si>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</si>
  <si>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</si>
  <si>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</si>
  <si>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</si>
  <si>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</si>
  <si>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</si>
  <si>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</si>
  <si>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</si>
  <si>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</si>
  <si>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</si>
  <si>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</si>
  <si>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</si>
  <si>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</si>
  <si>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</si>
  <si>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</si>
  <si>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</si>
  <si>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</si>
  <si>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</si>
  <si>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</si>
  <si>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</si>
  <si>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</si>
  <si>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</si>
  <si>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</si>
  <si>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</si>
  <si>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</si>
  <si>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</si>
  <si>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</si>
  <si>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</si>
  <si>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</si>
  <si>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</si>
  <si>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</si>
  <si>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</si>
  <si>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</si>
  <si>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</si>
  <si>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</si>
  <si>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</si>
  <si>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</si>
  <si>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</si>
  <si>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</si>
  <si>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</si>
  <si>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</si>
  <si>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</si>
  <si>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</si>
  <si>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</si>
  <si>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</si>
  <si>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</si>
  <si>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</si>
  <si>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</si>
  <si>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</si>
  <si>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</si>
  <si>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</si>
  <si>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</si>
  <si>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</si>
  <si>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</si>
  <si>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</si>
  <si>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</si>
  <si>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</si>
  <si>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</si>
  <si>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</si>
  <si>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</si>
  <si>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</si>
  <si>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</si>
  <si>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</si>
  <si>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</si>
  <si>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</si>
  <si>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</si>
  <si>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</si>
  <si>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</si>
  <si>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</si>
  <si>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</si>
  <si>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</si>
  <si>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</si>
  <si>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</si>
  <si>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</si>
  <si>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</si>
  <si>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</si>
  <si>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</si>
  <si>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</si>
  <si>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</si>
  <si>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</si>
  <si>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</si>
  <si>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</si>
  <si>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</si>
  <si>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</si>
  <si>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</si>
  <si>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</si>
  <si>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</si>
  <si>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</si>
  <si>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</si>
  <si>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</si>
  <si>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</si>
  <si>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</si>
  <si>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</si>
  <si>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</si>
  <si>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</si>
  <si>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</si>
  <si>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</si>
  <si>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</si>
  <si>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</si>
  <si>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</si>
  <si>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</si>
  <si>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</si>
  <si>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</si>
  <si>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</si>
  <si>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</si>
  <si>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</si>
  <si>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</si>
  <si>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</si>
  <si>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</si>
  <si>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</si>
  <si>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</si>
  <si>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</si>
  <si>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</si>
  <si>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</si>
  <si>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</si>
  <si>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</si>
  <si>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</si>
  <si>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</si>
  <si>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</si>
  <si>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</si>
  <si>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</si>
  <si>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</si>
  <si>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</si>
  <si>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</si>
  <si>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</si>
  <si>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</si>
  <si>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</si>
  <si>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</si>
  <si>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</si>
  <si>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</si>
  <si>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</si>
  <si>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</si>
  <si>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</si>
  <si>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</si>
  <si>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</si>
  <si>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</si>
  <si>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</si>
  <si>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</si>
  <si>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</si>
  <si>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</si>
  <si>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</si>
  <si>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</si>
  <si>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</si>
  <si>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</si>
  <si>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</si>
  <si>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</si>
  <si>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</si>
  <si>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</si>
  <si>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</si>
  <si>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</si>
  <si>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</si>
  <si>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</si>
  <si>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</si>
  <si>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</si>
  <si>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</si>
  <si>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</si>
  <si>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</si>
  <si>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</si>
  <si>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</si>
  <si>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</si>
  <si>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</si>
  <si>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</si>
  <si>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</si>
  <si>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</si>
  <si>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</si>
  <si>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</si>
  <si>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</si>
  <si>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</si>
  <si>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</si>
  <si>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</si>
  <si>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</si>
  <si>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</si>
  <si>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</si>
  <si>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</si>
  <si>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</si>
  <si>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</si>
  <si>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</si>
  <si>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</si>
  <si>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</si>
  <si>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</si>
  <si>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</si>
  <si>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</si>
  <si>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</si>
  <si>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</si>
  <si>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</si>
  <si>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</si>
  <si>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</si>
  <si>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</si>
  <si>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</si>
  <si>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</si>
  <si>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</si>
  <si>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</si>
  <si>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</si>
  <si>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</si>
  <si>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</si>
  <si>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</si>
  <si>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</si>
  <si>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</si>
  <si>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</si>
  <si>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</si>
  <si>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</si>
  <si>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</si>
  <si>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</si>
  <si>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</si>
  <si>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</si>
  <si>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</si>
  <si>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</si>
  <si>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</si>
  <si>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</si>
  <si>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</si>
  <si>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</si>
  <si>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</si>
  <si>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</si>
  <si>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</si>
  <si>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</si>
  <si>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</si>
  <si>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</si>
  <si>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</si>
  <si>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</si>
  <si>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</si>
  <si>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</si>
  <si>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</si>
  <si>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</si>
  <si>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</si>
  <si>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</si>
  <si>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</si>
  <si>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</si>
  <si>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</si>
  <si>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</si>
  <si>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</si>
  <si>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</si>
  <si>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</si>
  <si>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</si>
  <si>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</si>
  <si>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</si>
  <si>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</si>
  <si>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</si>
  <si>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</si>
  <si>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</si>
  <si>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</si>
  <si>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</si>
  <si>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</si>
  <si>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</si>
  <si>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</si>
  <si>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</si>
  <si>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</si>
  <si>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</si>
  <si>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</si>
  <si>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</si>
  <si>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</si>
  <si>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</si>
  <si>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</si>
  <si>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</si>
  <si>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</si>
  <si>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</si>
  <si>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</si>
  <si>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</si>
  <si>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</si>
  <si>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</si>
  <si>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</si>
  <si>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</si>
  <si>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</si>
  <si>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</si>
  <si>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</si>
  <si>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</si>
  <si>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</si>
  <si>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</si>
  <si>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</si>
  <si>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</si>
  <si>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</si>
  <si>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</si>
  <si>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</si>
  <si>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</si>
  <si>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</si>
  <si>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</si>
  <si>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</si>
  <si>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</si>
  <si>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</si>
  <si>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</si>
  <si>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</si>
  <si>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</si>
  <si>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</si>
  <si>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</si>
  <si>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</si>
  <si>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</si>
  <si>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</si>
  <si>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</si>
  <si>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</si>
  <si>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</si>
  <si>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</si>
  <si>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</si>
  <si>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</si>
  <si>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</si>
  <si>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</si>
  <si>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</si>
  <si>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Business Question:</t>
  </si>
  <si>
    <t>Function(s) you'll learn:</t>
  </si>
  <si>
    <t>Challenge for you…</t>
  </si>
  <si>
    <t>Total Salary and headcount by department</t>
  </si>
  <si>
    <t>SUMIFS, COUNTIFS</t>
  </si>
  <si>
    <t>Permanent headcount</t>
  </si>
  <si>
    <t>All employees with more than $100k salary</t>
  </si>
  <si>
    <t>FILTER</t>
  </si>
  <si>
    <t>All female employees with more than $100k salary</t>
  </si>
  <si>
    <t>FILTER, *</t>
  </si>
  <si>
    <t>who joined in 2020 or after…</t>
  </si>
  <si>
    <t>Lowest, highest and top 5 salary values</t>
  </si>
  <si>
    <t>MIN, MAX, LARGE, SORT + TAKE</t>
  </si>
  <si>
    <t>List of all departments</t>
  </si>
  <si>
    <t>UNIQUE, COUNTA, #</t>
  </si>
  <si>
    <t>All depts in one cell, comma seperated</t>
  </si>
  <si>
    <t>Employee details lookup</t>
  </si>
  <si>
    <t>VLOOKUP, INDEX + MATCH</t>
  </si>
  <si>
    <t>XLOOKUP, IFERROR</t>
  </si>
  <si>
    <t>Find all employees with 120,000 salary</t>
  </si>
  <si>
    <t>Complex formula: Highest salary person</t>
  </si>
  <si>
    <t>XLOOKUP + MAX</t>
  </si>
  <si>
    <t>Complex formula: All employees joined in March</t>
  </si>
  <si>
    <t>FILTER + MONTH</t>
  </si>
  <si>
    <t>Female employees with Monday start</t>
  </si>
  <si>
    <t>Complex formula: Department report of headcounts, salaries and % diff from overall average</t>
  </si>
  <si>
    <t>UNIQUE, SUMIFS, COUNTIFS, #, CONDITIONAL FORMATTING</t>
  </si>
  <si>
    <t>Calculate Median Salary and Female Ratio</t>
  </si>
  <si>
    <t>Headcount</t>
  </si>
  <si>
    <t>Total Salary</t>
  </si>
  <si>
    <t>Column1</t>
  </si>
  <si>
    <t>Average Salary</t>
  </si>
  <si>
    <t>Permanent Count</t>
  </si>
  <si>
    <t>Lowest Salary</t>
  </si>
  <si>
    <t>Highest Salary</t>
  </si>
  <si>
    <t>All Employees</t>
  </si>
  <si>
    <t>Top 3 Salary</t>
  </si>
  <si>
    <t>Attributes</t>
  </si>
  <si>
    <t>Employee LOOKUP</t>
  </si>
  <si>
    <t>Employee ID</t>
  </si>
  <si>
    <t>Row number (match)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</si>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</sst>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0" tint="-0.24994659260841701"/>
      </top>
      <bottom style="thin">
        <color theme="4" tint="0.39997558519241921"/>
      </bottom>
      <diagonal/>
    </border>
    <border>
      <left/>
      <right/>
      <top style="thin">
        <color theme="0" tint="-0.2499465926084170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0" tint="-0.2499465926084170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0" tint="-0.24994659260841701"/>
      </top>
      <bottom/>
      <diagonal/>
    </border>
    <border>
      <left/>
      <right style="thin">
        <color theme="4" tint="0.3999755851924192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44" fontId="0" fillId="0" borderId="0" xfId="1" applyFont="1"/>
    <xf numFmtId="0" fontId="3" fillId="0" borderId="0" xfId="0" applyFont="1"/>
    <xf numFmtId="0" fontId="0" fillId="5" borderId="0" xfId="0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6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21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0" formatCode="dd/m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_);[Red]\(&quot;$&quot;#,##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3D7644-A9AA-49FF-9C8D-3552816F07BF}" name="staff" displayName="staff" ref="A1:M261" totalsRowShown="0" headerRowDxfId="20" dataDxfId="19">
  <tableColumns count="13">
    <tableColumn id="1" xr3:uid="{30C9E361-5379-4CF9-91A6-8CAA9482EA3F}" name="Emp ID" dataDxfId="18"/>
    <tableColumn id="2" xr3:uid="{66FE6556-5093-4542-8204-2D4B5C3AE356}" name="First Name" dataDxfId="17"/>
    <tableColumn id="3" xr3:uid="{C1C8EC7E-DAD8-409F-BBC1-8B620742A537}" name="Last Name" dataDxfId="16"/>
    <tableColumn id="4" xr3:uid="{ABC27C0C-A6D4-4EAB-ABD5-99247F55FE9A}" name="Gender" dataDxfId="15"/>
    <tableColumn id="5" xr3:uid="{DF2162D1-AB9A-4C8B-B096-7BB69FA58969}" name="Department" dataDxfId="14"/>
    <tableColumn id="6" xr3:uid="{D55CDFEC-124A-4690-97E6-68429364A2CB}" name="Salary" dataDxfId="13"/>
    <tableColumn id="7" xr3:uid="{9963086B-6230-4424-AB27-02718C9DDB88}" name="Salary Bucket" dataDxfId="12"/>
    <tableColumn id="8" xr3:uid="{F4832E16-583A-4804-AF51-EB0D5703197E}" name="Start Date" dataDxfId="11"/>
    <tableColumn id="9" xr3:uid="{F248365F-A86A-4572-9A07-0A5CAF5C3ACA}" name="FTE" dataDxfId="10"/>
    <tableColumn id="10" xr3:uid="{A584ABCF-586E-4F05-92E2-7166AC70E16A}" name="Employee type" dataDxfId="9"/>
    <tableColumn id="11" xr3:uid="{A40614AB-6AA7-401E-9C33-C333682602BA}" name="Work location" dataDxfId="8"/>
    <tableColumn id="12" xr3:uid="{A77EC08C-61C1-453A-90A1-F1E782C8DB24}" name="Tenure" dataDxfId="7"/>
    <tableColumn id="13" xr3:uid="{C998F4B6-1D04-4A63-A442-487A461F1DDC}" name="Work Type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4B956B-499D-4399-9555-39310E41ECBF}" name="Table5" displayName="Table5" ref="A1:E13" totalsRowShown="0" headerRowDxfId="5">
  <tableColumns count="5">
    <tableColumn id="1" xr3:uid="{B0FBB5D4-122F-440C-9BC8-C0C1A070689B}" name="Department" dataDxfId="4"/>
    <tableColumn id="2" xr3:uid="{16D17287-42FB-4096-94F7-24AD107FBB5F}" name="Headcount">
      <calculatedColumnFormula>COUNTIFS(Data!$E$2:$E$261,A2)</calculatedColumnFormula>
    </tableColumn>
    <tableColumn id="3" xr3:uid="{69ADD06E-E42F-4371-B598-5BE7A2F8E156}" name="Total Salary" dataDxfId="3" dataCellStyle="Currency">
      <calculatedColumnFormula>SUMIFS(Data!$F$2:$F$261,Data!$E$2:$E$261,A2)</calculatedColumnFormula>
    </tableColumn>
    <tableColumn id="4" xr3:uid="{2AE1FDFD-7753-43DA-8273-D9D43BD4EE1B}" name="Average Salary" dataCellStyle="Currency">
      <calculatedColumnFormula>AVERAGEIFS(staff[Salary],staff[Department],A2)</calculatedColumnFormula>
    </tableColumn>
    <tableColumn id="5" xr3:uid="{E108DF97-7E1D-4A40-B3DA-97DA33C157B0}" name="Permanent Count" dataDxfId="2">
      <calculatedColumnFormula>COUNTIFS(staff[Department], A2, staff[Employee type], "Permanent")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B0A689-B086-45A2-B946-AE21152C4435}" name="Table6" displayName="Table6" ref="C5:F10" totalsRowShown="0">
  <tableColumns count="4">
    <tableColumn id="1" xr3:uid="{5E003489-45D9-4EFF-8D8F-455C49936484}" name="Attributes"/>
    <tableColumn id="2" xr3:uid="{2D37DF96-A032-4CDC-8E6B-5987BDDDEA60}" name="All Employees" dataCellStyle="Currency"/>
    <tableColumn id="3" xr3:uid="{F8ECBA18-32F2-4611-8835-C1D07A01AB16}" name="Male" dataDxfId="1" dataCellStyle="Currency">
      <calculatedColumnFormula>_xlfn.MINIFS(staff[Salary],staff[Gender], "Male")</calculatedColumnFormula>
    </tableColumn>
    <tableColumn id="4" xr3:uid="{3ABBF4F0-6244-419D-90BB-9FD04C567B6D}" name="Female" dataDxfId="0" dataCellStyle="Currency">
      <calculatedColumnFormula>_xlfn.MINIFS(staff[Salary],staff[Gender], "Female")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5126-0AA6-499C-A2E4-0432919A31DB}">
  <dimension ref="A1:D11"/>
  <sheetViews>
    <sheetView workbookViewId="0">
      <selection activeCell="D16" sqref="D16"/>
    </sheetView>
  </sheetViews>
  <sheetFormatPr defaultRowHeight="14.4" x14ac:dyDescent="0.3"/>
  <cols>
    <col min="1" max="1" width="10.44140625" customWidth="1"/>
    <col min="2" max="2" width="51" customWidth="1"/>
    <col min="3" max="3" width="43.109375" customWidth="1"/>
    <col min="4" max="4" width="42.33203125" customWidth="1"/>
  </cols>
  <sheetData>
    <row r="1" spans="1:4" x14ac:dyDescent="0.3">
      <c r="A1" s="6" t="s">
        <v>769</v>
      </c>
      <c r="B1" s="7" t="s">
        <v>739</v>
      </c>
      <c r="C1" s="7" t="s">
        <v>740</v>
      </c>
      <c r="D1" s="8" t="s">
        <v>741</v>
      </c>
    </row>
    <row r="2" spans="1:4" x14ac:dyDescent="0.3">
      <c r="A2" s="9">
        <v>1</v>
      </c>
      <c r="B2" s="10" t="s">
        <v>742</v>
      </c>
      <c r="C2" s="11" t="s">
        <v>743</v>
      </c>
      <c r="D2" s="12" t="s">
        <v>744</v>
      </c>
    </row>
    <row r="3" spans="1:4" x14ac:dyDescent="0.3">
      <c r="A3" s="13">
        <v>2</v>
      </c>
      <c r="B3" s="14" t="s">
        <v>745</v>
      </c>
      <c r="C3" s="15" t="s">
        <v>746</v>
      </c>
      <c r="D3" s="16"/>
    </row>
    <row r="4" spans="1:4" x14ac:dyDescent="0.3">
      <c r="A4" s="17">
        <v>3</v>
      </c>
      <c r="B4" s="18" t="s">
        <v>747</v>
      </c>
      <c r="C4" s="19" t="s">
        <v>748</v>
      </c>
      <c r="D4" s="20" t="s">
        <v>749</v>
      </c>
    </row>
    <row r="5" spans="1:4" x14ac:dyDescent="0.3">
      <c r="A5" s="13">
        <v>4</v>
      </c>
      <c r="B5" s="14" t="s">
        <v>750</v>
      </c>
      <c r="C5" s="15" t="s">
        <v>751</v>
      </c>
      <c r="D5" s="16"/>
    </row>
    <row r="6" spans="1:4" x14ac:dyDescent="0.3">
      <c r="A6" s="17">
        <v>5</v>
      </c>
      <c r="B6" s="18" t="s">
        <v>752</v>
      </c>
      <c r="C6" s="19" t="s">
        <v>753</v>
      </c>
      <c r="D6" s="21" t="s">
        <v>754</v>
      </c>
    </row>
    <row r="7" spans="1:4" x14ac:dyDescent="0.3">
      <c r="A7" s="13">
        <v>6</v>
      </c>
      <c r="B7" s="14" t="s">
        <v>755</v>
      </c>
      <c r="C7" s="15" t="s">
        <v>756</v>
      </c>
      <c r="D7" s="16"/>
    </row>
    <row r="8" spans="1:4" x14ac:dyDescent="0.3">
      <c r="A8" s="17">
        <v>7</v>
      </c>
      <c r="B8" s="18" t="s">
        <v>755</v>
      </c>
      <c r="C8" s="19" t="s">
        <v>757</v>
      </c>
      <c r="D8" s="21" t="s">
        <v>758</v>
      </c>
    </row>
    <row r="9" spans="1:4" x14ac:dyDescent="0.3">
      <c r="A9" s="22">
        <v>8</v>
      </c>
      <c r="B9" s="23" t="s">
        <v>759</v>
      </c>
      <c r="C9" s="24" t="s">
        <v>760</v>
      </c>
      <c r="D9" s="25"/>
    </row>
    <row r="10" spans="1:4" x14ac:dyDescent="0.3">
      <c r="A10" s="22">
        <v>9</v>
      </c>
      <c r="B10" s="23" t="s">
        <v>761</v>
      </c>
      <c r="C10" s="24" t="s">
        <v>762</v>
      </c>
      <c r="D10" s="25" t="s">
        <v>763</v>
      </c>
    </row>
    <row r="11" spans="1:4" ht="28.8" x14ac:dyDescent="0.3">
      <c r="A11" s="26">
        <v>10</v>
      </c>
      <c r="B11" s="27" t="s">
        <v>764</v>
      </c>
      <c r="C11" s="28" t="s">
        <v>765</v>
      </c>
      <c r="D11" s="29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CB5A-F877-4377-AB8A-724C5FFF6FBC}">
  <dimension ref="A1:M261"/>
  <sheetViews>
    <sheetView workbookViewId="0">
      <selection activeCell="C7" sqref="C7"/>
    </sheetView>
  </sheetViews>
  <sheetFormatPr defaultRowHeight="14.4" x14ac:dyDescent="0.3"/>
  <cols>
    <col min="1" max="1" width="10.6640625" customWidth="1"/>
    <col min="2" max="2" width="15.44140625" customWidth="1"/>
    <col min="3" max="3" width="13.77734375" customWidth="1"/>
    <col min="4" max="4" width="11.44140625" customWidth="1"/>
    <col min="5" max="5" width="25.44140625" customWidth="1"/>
    <col min="6" max="6" width="12.33203125" customWidth="1"/>
    <col min="7" max="7" width="14.33203125" customWidth="1"/>
    <col min="8" max="8" width="13.5546875" customWidth="1"/>
    <col min="9" max="9" width="6.88671875" customWidth="1"/>
    <col min="10" max="10" width="15.44140625" customWidth="1"/>
    <col min="11" max="11" width="21.88671875" customWidth="1"/>
    <col min="13" max="13" width="15.5546875" customWidth="1"/>
  </cols>
  <sheetData>
    <row r="1" spans="1:13" s="2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96135.75</v>
      </c>
      <c r="G2" s="2" t="s">
        <v>18</v>
      </c>
      <c r="H2" s="4">
        <v>44025</v>
      </c>
      <c r="I2" s="2">
        <v>0.3</v>
      </c>
      <c r="J2" s="2" t="s">
        <v>19</v>
      </c>
      <c r="K2" s="2" t="s">
        <v>20</v>
      </c>
      <c r="L2" s="1">
        <v>3.9424657534246577</v>
      </c>
      <c r="M2" s="2" t="s">
        <v>21</v>
      </c>
    </row>
    <row r="3" spans="1:13" x14ac:dyDescent="0.3">
      <c r="A3" s="2" t="s">
        <v>22</v>
      </c>
      <c r="B3" s="2" t="s">
        <v>23</v>
      </c>
      <c r="C3" s="2" t="s">
        <v>24</v>
      </c>
      <c r="D3" s="2" t="s">
        <v>16</v>
      </c>
      <c r="E3" s="2" t="s">
        <v>25</v>
      </c>
      <c r="F3" s="3">
        <v>70649.460000000006</v>
      </c>
      <c r="G3" s="2" t="s">
        <v>18</v>
      </c>
      <c r="H3" s="4">
        <v>43843</v>
      </c>
      <c r="I3" s="2">
        <v>1</v>
      </c>
      <c r="J3" s="2" t="s">
        <v>19</v>
      </c>
      <c r="K3" s="2" t="s">
        <v>26</v>
      </c>
      <c r="L3" s="1">
        <v>4.441095890410959</v>
      </c>
      <c r="M3" s="2" t="s">
        <v>27</v>
      </c>
    </row>
    <row r="4" spans="1:13" x14ac:dyDescent="0.3">
      <c r="A4" s="2" t="s">
        <v>28</v>
      </c>
      <c r="B4" s="2" t="s">
        <v>29</v>
      </c>
      <c r="C4" s="2" t="s">
        <v>30</v>
      </c>
      <c r="D4" s="2" t="s">
        <v>16</v>
      </c>
      <c r="E4" s="2" t="s">
        <v>25</v>
      </c>
      <c r="F4" s="3">
        <v>80695.740000000005</v>
      </c>
      <c r="G4" s="2" t="s">
        <v>18</v>
      </c>
      <c r="H4" s="4">
        <v>43360</v>
      </c>
      <c r="I4" s="2">
        <v>1</v>
      </c>
      <c r="J4" s="2" t="s">
        <v>19</v>
      </c>
      <c r="K4" s="2" t="s">
        <v>31</v>
      </c>
      <c r="L4" s="1">
        <v>5.7643835616438359</v>
      </c>
      <c r="M4" s="2" t="s">
        <v>27</v>
      </c>
    </row>
    <row r="5" spans="1:13" x14ac:dyDescent="0.3">
      <c r="A5" s="2" t="s">
        <v>28</v>
      </c>
      <c r="B5" s="2" t="s">
        <v>29</v>
      </c>
      <c r="C5" s="2" t="s">
        <v>30</v>
      </c>
      <c r="D5" s="2" t="s">
        <v>16</v>
      </c>
      <c r="E5" s="2" t="s">
        <v>25</v>
      </c>
      <c r="F5" s="3">
        <v>80695.740000000005</v>
      </c>
      <c r="G5" s="2" t="s">
        <v>18</v>
      </c>
      <c r="H5" s="4">
        <v>43360</v>
      </c>
      <c r="I5" s="2">
        <v>1</v>
      </c>
      <c r="J5" s="2" t="s">
        <v>19</v>
      </c>
      <c r="K5" s="2" t="s">
        <v>31</v>
      </c>
      <c r="L5" s="1">
        <v>5.7643835616438359</v>
      </c>
      <c r="M5" s="2" t="s">
        <v>27</v>
      </c>
    </row>
    <row r="6" spans="1:13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3">
        <v>120000</v>
      </c>
      <c r="G6" s="2" t="s">
        <v>37</v>
      </c>
      <c r="H6" s="4">
        <v>43416</v>
      </c>
      <c r="I6" s="2">
        <v>1</v>
      </c>
      <c r="J6" s="2" t="s">
        <v>19</v>
      </c>
      <c r="K6" s="2" t="s">
        <v>38</v>
      </c>
      <c r="L6" s="1">
        <v>5.6109589041095891</v>
      </c>
      <c r="M6" s="2" t="s">
        <v>27</v>
      </c>
    </row>
    <row r="7" spans="1:13" x14ac:dyDescent="0.3">
      <c r="A7" s="2" t="s">
        <v>39</v>
      </c>
      <c r="B7" s="2" t="s">
        <v>40</v>
      </c>
      <c r="C7" s="2" t="s">
        <v>41</v>
      </c>
      <c r="D7" s="2" t="s">
        <v>16</v>
      </c>
      <c r="E7" s="2" t="s">
        <v>42</v>
      </c>
      <c r="F7" s="3">
        <v>67905.8</v>
      </c>
      <c r="G7" s="2" t="s">
        <v>18</v>
      </c>
      <c r="H7" s="4">
        <v>44194</v>
      </c>
      <c r="I7" s="2">
        <v>1</v>
      </c>
      <c r="J7" s="2" t="s">
        <v>19</v>
      </c>
      <c r="K7" s="2" t="s">
        <v>38</v>
      </c>
      <c r="L7" s="1">
        <v>3.4794520547945207</v>
      </c>
      <c r="M7" s="2" t="s">
        <v>27</v>
      </c>
    </row>
    <row r="8" spans="1:13" x14ac:dyDescent="0.3">
      <c r="A8" s="2" t="s">
        <v>43</v>
      </c>
      <c r="B8" s="2" t="s">
        <v>44</v>
      </c>
      <c r="C8" s="2" t="s">
        <v>45</v>
      </c>
      <c r="D8" s="2" t="s">
        <v>16</v>
      </c>
      <c r="E8" s="2" t="s">
        <v>25</v>
      </c>
      <c r="F8" s="3">
        <v>68980.52</v>
      </c>
      <c r="G8" s="2" t="s">
        <v>18</v>
      </c>
      <c r="H8" s="4">
        <v>43494</v>
      </c>
      <c r="I8" s="2">
        <v>0.8</v>
      </c>
      <c r="J8" s="2" t="s">
        <v>19</v>
      </c>
      <c r="K8" s="2" t="s">
        <v>38</v>
      </c>
      <c r="L8" s="1">
        <v>5.397260273972603</v>
      </c>
      <c r="M8" s="2" t="s">
        <v>21</v>
      </c>
    </row>
    <row r="9" spans="1:13" x14ac:dyDescent="0.3">
      <c r="A9" s="2" t="s">
        <v>46</v>
      </c>
      <c r="B9" s="2" t="s">
        <v>47</v>
      </c>
      <c r="C9" s="2" t="s">
        <v>48</v>
      </c>
      <c r="D9" s="2" t="s">
        <v>16</v>
      </c>
      <c r="E9" s="2" t="s">
        <v>49</v>
      </c>
      <c r="F9" s="3">
        <v>63705.4</v>
      </c>
      <c r="G9" s="2" t="s">
        <v>18</v>
      </c>
      <c r="H9" s="4">
        <v>43682</v>
      </c>
      <c r="I9" s="2">
        <v>1</v>
      </c>
      <c r="J9" s="2" t="s">
        <v>19</v>
      </c>
      <c r="K9" s="2" t="s">
        <v>26</v>
      </c>
      <c r="L9" s="1">
        <v>4.882191780821918</v>
      </c>
      <c r="M9" s="2" t="s">
        <v>27</v>
      </c>
    </row>
    <row r="10" spans="1:13" x14ac:dyDescent="0.3">
      <c r="A10" s="2" t="s">
        <v>50</v>
      </c>
      <c r="B10" s="2" t="s">
        <v>51</v>
      </c>
      <c r="C10" s="2" t="s">
        <v>52</v>
      </c>
      <c r="D10" s="2" t="s">
        <v>16</v>
      </c>
      <c r="E10" s="2" t="s">
        <v>53</v>
      </c>
      <c r="F10" s="3">
        <v>114177.23</v>
      </c>
      <c r="G10" s="2" t="s">
        <v>37</v>
      </c>
      <c r="H10" s="4">
        <v>43908</v>
      </c>
      <c r="I10" s="2">
        <v>1</v>
      </c>
      <c r="J10" s="2" t="s">
        <v>19</v>
      </c>
      <c r="K10" s="2" t="s">
        <v>20</v>
      </c>
      <c r="L10" s="1">
        <v>4.2630136986301368</v>
      </c>
      <c r="M10" s="2" t="s">
        <v>27</v>
      </c>
    </row>
    <row r="11" spans="1:13" x14ac:dyDescent="0.3">
      <c r="A11" s="2" t="s">
        <v>54</v>
      </c>
      <c r="B11" s="2" t="s">
        <v>55</v>
      </c>
      <c r="C11" s="2" t="s">
        <v>56</v>
      </c>
      <c r="D11" s="2" t="s">
        <v>35</v>
      </c>
      <c r="E11" s="2" t="s">
        <v>49</v>
      </c>
      <c r="F11" s="3">
        <v>29774.76</v>
      </c>
      <c r="G11" s="2" t="s">
        <v>57</v>
      </c>
      <c r="H11" s="4">
        <v>44105</v>
      </c>
      <c r="I11" s="2">
        <v>1</v>
      </c>
      <c r="J11" s="2" t="s">
        <v>19</v>
      </c>
      <c r="K11" s="2" t="s">
        <v>20</v>
      </c>
      <c r="L11" s="1">
        <v>3.7232876712328768</v>
      </c>
      <c r="M11" s="2" t="s">
        <v>27</v>
      </c>
    </row>
    <row r="12" spans="1:13" x14ac:dyDescent="0.3">
      <c r="A12" s="2" t="s">
        <v>58</v>
      </c>
      <c r="B12" s="2" t="s">
        <v>59</v>
      </c>
      <c r="C12" s="2" t="s">
        <v>60</v>
      </c>
      <c r="D12" s="2" t="s">
        <v>35</v>
      </c>
      <c r="E12" s="2" t="s">
        <v>53</v>
      </c>
      <c r="F12" s="3">
        <v>52963.65</v>
      </c>
      <c r="G12" s="2" t="s">
        <v>18</v>
      </c>
      <c r="H12" s="4">
        <v>44288</v>
      </c>
      <c r="I12" s="2">
        <v>0.3</v>
      </c>
      <c r="J12" s="2" t="s">
        <v>19</v>
      </c>
      <c r="K12" s="2" t="s">
        <v>31</v>
      </c>
      <c r="L12" s="1">
        <v>3.2219178082191782</v>
      </c>
      <c r="M12" s="2" t="s">
        <v>21</v>
      </c>
    </row>
    <row r="13" spans="1:13" x14ac:dyDescent="0.3">
      <c r="A13" s="2" t="s">
        <v>61</v>
      </c>
      <c r="B13" s="2" t="s">
        <v>62</v>
      </c>
      <c r="C13" s="2" t="s">
        <v>63</v>
      </c>
      <c r="D13" s="2" t="s">
        <v>35</v>
      </c>
      <c r="E13" s="2" t="s">
        <v>64</v>
      </c>
      <c r="F13" s="3">
        <v>50310.09</v>
      </c>
      <c r="G13" s="2" t="s">
        <v>18</v>
      </c>
      <c r="H13" s="4">
        <v>44285</v>
      </c>
      <c r="I13" s="2">
        <v>0.4</v>
      </c>
      <c r="J13" s="2" t="s">
        <v>19</v>
      </c>
      <c r="K13" s="2" t="s">
        <v>26</v>
      </c>
      <c r="L13" s="1">
        <v>3.2301369863013698</v>
      </c>
      <c r="M13" s="2" t="s">
        <v>21</v>
      </c>
    </row>
    <row r="14" spans="1:13" x14ac:dyDescent="0.3">
      <c r="A14" s="2" t="s">
        <v>65</v>
      </c>
      <c r="B14" s="2" t="s">
        <v>66</v>
      </c>
      <c r="C14" s="2" t="s">
        <v>67</v>
      </c>
      <c r="D14" s="2" t="s">
        <v>16</v>
      </c>
      <c r="E14" s="2" t="s">
        <v>68</v>
      </c>
      <c r="F14" s="3">
        <v>84309.95</v>
      </c>
      <c r="G14" s="2" t="s">
        <v>18</v>
      </c>
      <c r="H14" s="4">
        <v>44501</v>
      </c>
      <c r="I14" s="2">
        <v>1</v>
      </c>
      <c r="J14" s="2" t="s">
        <v>19</v>
      </c>
      <c r="K14" s="2" t="s">
        <v>38</v>
      </c>
      <c r="L14" s="1">
        <v>2.6383561643835618</v>
      </c>
      <c r="M14" s="2" t="s">
        <v>27</v>
      </c>
    </row>
    <row r="15" spans="1:13" x14ac:dyDescent="0.3">
      <c r="A15" s="2" t="s">
        <v>69</v>
      </c>
      <c r="B15" s="2" t="s">
        <v>70</v>
      </c>
      <c r="C15" s="2" t="s">
        <v>71</v>
      </c>
      <c r="D15" s="2" t="s">
        <v>35</v>
      </c>
      <c r="E15" s="2" t="s">
        <v>53</v>
      </c>
      <c r="F15" s="3">
        <v>35936.31</v>
      </c>
      <c r="G15" s="2" t="s">
        <v>57</v>
      </c>
      <c r="H15" s="4">
        <v>43241</v>
      </c>
      <c r="I15" s="2">
        <v>1</v>
      </c>
      <c r="J15" s="2" t="s">
        <v>19</v>
      </c>
      <c r="K15" s="2" t="s">
        <v>72</v>
      </c>
      <c r="L15" s="1">
        <v>6.0904109589041093</v>
      </c>
      <c r="M15" s="2" t="s">
        <v>27</v>
      </c>
    </row>
    <row r="16" spans="1:13" x14ac:dyDescent="0.3">
      <c r="A16" s="2" t="s">
        <v>73</v>
      </c>
      <c r="B16" s="2" t="s">
        <v>74</v>
      </c>
      <c r="C16" s="2" t="s">
        <v>75</v>
      </c>
      <c r="D16" s="2" t="s">
        <v>35</v>
      </c>
      <c r="E16" s="2" t="s">
        <v>36</v>
      </c>
      <c r="F16" s="3">
        <v>112645.99</v>
      </c>
      <c r="G16" s="2" t="s">
        <v>37</v>
      </c>
      <c r="H16" s="4">
        <v>43759</v>
      </c>
      <c r="I16" s="2">
        <v>0.6</v>
      </c>
      <c r="J16" s="2" t="s">
        <v>19</v>
      </c>
      <c r="K16" s="2" t="s">
        <v>76</v>
      </c>
      <c r="L16" s="1">
        <v>4.6712328767123283</v>
      </c>
      <c r="M16" s="2" t="s">
        <v>21</v>
      </c>
    </row>
    <row r="17" spans="1:13" x14ac:dyDescent="0.3">
      <c r="A17" s="2" t="s">
        <v>77</v>
      </c>
      <c r="B17" s="2" t="s">
        <v>78</v>
      </c>
      <c r="C17" s="2" t="s">
        <v>79</v>
      </c>
      <c r="D17" s="2" t="s">
        <v>35</v>
      </c>
      <c r="E17" s="2" t="s">
        <v>53</v>
      </c>
      <c r="F17" s="3">
        <v>91645.04</v>
      </c>
      <c r="G17" s="2" t="s">
        <v>18</v>
      </c>
      <c r="H17" s="4">
        <v>44223</v>
      </c>
      <c r="I17" s="2">
        <v>1</v>
      </c>
      <c r="J17" s="2" t="s">
        <v>19</v>
      </c>
      <c r="K17" s="2" t="s">
        <v>80</v>
      </c>
      <c r="L17" s="1">
        <v>3.4</v>
      </c>
      <c r="M17" s="2" t="s">
        <v>27</v>
      </c>
    </row>
    <row r="18" spans="1:13" x14ac:dyDescent="0.3">
      <c r="A18" s="2" t="s">
        <v>81</v>
      </c>
      <c r="B18" s="2" t="s">
        <v>82</v>
      </c>
      <c r="C18" s="2" t="s">
        <v>83</v>
      </c>
      <c r="D18" s="2" t="s">
        <v>16</v>
      </c>
      <c r="E18" s="2" t="s">
        <v>36</v>
      </c>
      <c r="F18" s="3">
        <v>97105.19</v>
      </c>
      <c r="G18" s="2" t="s">
        <v>18</v>
      </c>
      <c r="H18" s="4">
        <v>44425</v>
      </c>
      <c r="I18" s="2">
        <v>1</v>
      </c>
      <c r="J18" s="2" t="s">
        <v>19</v>
      </c>
      <c r="K18" s="2" t="s">
        <v>31</v>
      </c>
      <c r="L18" s="1">
        <v>2.8465753424657536</v>
      </c>
      <c r="M18" s="2" t="s">
        <v>27</v>
      </c>
    </row>
    <row r="19" spans="1:13" x14ac:dyDescent="0.3">
      <c r="A19" s="2" t="s">
        <v>84</v>
      </c>
      <c r="B19" s="2" t="s">
        <v>85</v>
      </c>
      <c r="C19" s="2" t="s">
        <v>86</v>
      </c>
      <c r="D19" s="2" t="s">
        <v>35</v>
      </c>
      <c r="E19" s="2" t="s">
        <v>87</v>
      </c>
      <c r="F19" s="3">
        <v>84742.86</v>
      </c>
      <c r="G19" s="2" t="s">
        <v>18</v>
      </c>
      <c r="H19" s="4">
        <v>44098</v>
      </c>
      <c r="I19" s="2">
        <v>1</v>
      </c>
      <c r="J19" s="2" t="s">
        <v>19</v>
      </c>
      <c r="K19" s="2" t="s">
        <v>80</v>
      </c>
      <c r="L19" s="1">
        <v>3.7424657534246575</v>
      </c>
      <c r="M19" s="2" t="s">
        <v>27</v>
      </c>
    </row>
    <row r="20" spans="1:13" x14ac:dyDescent="0.3">
      <c r="A20" s="2" t="s">
        <v>88</v>
      </c>
      <c r="B20" s="2" t="s">
        <v>89</v>
      </c>
      <c r="C20" s="2" t="s">
        <v>90</v>
      </c>
      <c r="D20" s="2" t="s">
        <v>35</v>
      </c>
      <c r="E20" s="2" t="s">
        <v>25</v>
      </c>
      <c r="F20" s="3">
        <v>85918.61</v>
      </c>
      <c r="G20" s="2" t="s">
        <v>18</v>
      </c>
      <c r="H20" s="4">
        <v>43136</v>
      </c>
      <c r="I20" s="2">
        <v>1</v>
      </c>
      <c r="J20" s="2" t="s">
        <v>19</v>
      </c>
      <c r="K20" s="2" t="s">
        <v>31</v>
      </c>
      <c r="L20" s="1">
        <v>6.3780821917808215</v>
      </c>
      <c r="M20" s="2" t="s">
        <v>27</v>
      </c>
    </row>
    <row r="21" spans="1:13" x14ac:dyDescent="0.3">
      <c r="A21" s="2" t="s">
        <v>91</v>
      </c>
      <c r="B21" s="2" t="s">
        <v>92</v>
      </c>
      <c r="C21" s="2" t="s">
        <v>93</v>
      </c>
      <c r="D21" s="2" t="s">
        <v>16</v>
      </c>
      <c r="E21" s="2" t="s">
        <v>94</v>
      </c>
      <c r="F21" s="3">
        <v>72502.61</v>
      </c>
      <c r="G21" s="2" t="s">
        <v>18</v>
      </c>
      <c r="H21" s="4">
        <v>44235</v>
      </c>
      <c r="I21" s="2">
        <v>1</v>
      </c>
      <c r="J21" s="2" t="s">
        <v>19</v>
      </c>
      <c r="K21" s="2" t="s">
        <v>20</v>
      </c>
      <c r="L21" s="1">
        <v>3.3671232876712329</v>
      </c>
      <c r="M21" s="2" t="s">
        <v>27</v>
      </c>
    </row>
    <row r="22" spans="1:13" x14ac:dyDescent="0.3">
      <c r="A22" s="2" t="s">
        <v>95</v>
      </c>
      <c r="B22" s="2" t="s">
        <v>96</v>
      </c>
      <c r="C22" s="2" t="s">
        <v>97</v>
      </c>
      <c r="D22" s="2" t="s">
        <v>35</v>
      </c>
      <c r="E22" s="2" t="s">
        <v>87</v>
      </c>
      <c r="F22" s="3">
        <v>77096.05</v>
      </c>
      <c r="G22" s="2" t="s">
        <v>18</v>
      </c>
      <c r="H22" s="4">
        <v>43217</v>
      </c>
      <c r="I22" s="2">
        <v>1</v>
      </c>
      <c r="J22" s="2" t="s">
        <v>19</v>
      </c>
      <c r="K22" s="2" t="s">
        <v>72</v>
      </c>
      <c r="L22" s="1">
        <v>6.1561643835616442</v>
      </c>
      <c r="M22" s="2" t="s">
        <v>27</v>
      </c>
    </row>
    <row r="23" spans="1:13" x14ac:dyDescent="0.3">
      <c r="A23" s="2" t="s">
        <v>98</v>
      </c>
      <c r="B23" s="2" t="s">
        <v>99</v>
      </c>
      <c r="C23" s="2" t="s">
        <v>100</v>
      </c>
      <c r="D23" s="2" t="s">
        <v>16</v>
      </c>
      <c r="E23" s="2" t="s">
        <v>68</v>
      </c>
      <c r="F23" s="3">
        <v>50449.46</v>
      </c>
      <c r="G23" s="2" t="s">
        <v>18</v>
      </c>
      <c r="H23" s="4">
        <v>43418</v>
      </c>
      <c r="I23" s="2">
        <v>0.8</v>
      </c>
      <c r="J23" s="2" t="s">
        <v>19</v>
      </c>
      <c r="K23" s="2" t="s">
        <v>80</v>
      </c>
      <c r="L23" s="1">
        <v>5.6054794520547944</v>
      </c>
      <c r="M23" s="2" t="s">
        <v>21</v>
      </c>
    </row>
    <row r="24" spans="1:13" x14ac:dyDescent="0.3">
      <c r="A24" s="2" t="s">
        <v>101</v>
      </c>
      <c r="B24" s="2" t="s">
        <v>102</v>
      </c>
      <c r="C24" s="2" t="s">
        <v>103</v>
      </c>
      <c r="D24" s="2" t="s">
        <v>35</v>
      </c>
      <c r="E24" s="2" t="s">
        <v>64</v>
      </c>
      <c r="F24" s="3">
        <v>48525.71</v>
      </c>
      <c r="G24" s="2" t="s">
        <v>57</v>
      </c>
      <c r="H24" s="4">
        <v>43264</v>
      </c>
      <c r="I24" s="2">
        <v>1</v>
      </c>
      <c r="J24" s="2" t="s">
        <v>19</v>
      </c>
      <c r="K24" s="2" t="s">
        <v>26</v>
      </c>
      <c r="L24" s="1">
        <v>6.0273972602739727</v>
      </c>
      <c r="M24" s="2" t="s">
        <v>27</v>
      </c>
    </row>
    <row r="25" spans="1:13" x14ac:dyDescent="0.3">
      <c r="A25" s="2" t="s">
        <v>104</v>
      </c>
      <c r="B25" s="2" t="s">
        <v>105</v>
      </c>
      <c r="C25" s="2" t="s">
        <v>106</v>
      </c>
      <c r="D25" s="2" t="s">
        <v>35</v>
      </c>
      <c r="E25" s="2" t="s">
        <v>53</v>
      </c>
      <c r="F25" s="3">
        <v>36547.58</v>
      </c>
      <c r="G25" s="2" t="s">
        <v>57</v>
      </c>
      <c r="H25" s="4">
        <v>43416</v>
      </c>
      <c r="I25" s="2">
        <v>1</v>
      </c>
      <c r="J25" s="2" t="s">
        <v>19</v>
      </c>
      <c r="K25" s="2" t="s">
        <v>38</v>
      </c>
      <c r="L25" s="1">
        <v>5.6109589041095891</v>
      </c>
      <c r="M25" s="2" t="s">
        <v>27</v>
      </c>
    </row>
    <row r="26" spans="1:13" x14ac:dyDescent="0.3">
      <c r="A26" s="2" t="s">
        <v>104</v>
      </c>
      <c r="B26" s="2" t="s">
        <v>105</v>
      </c>
      <c r="C26" s="2" t="s">
        <v>106</v>
      </c>
      <c r="D26" s="2" t="s">
        <v>35</v>
      </c>
      <c r="E26" s="2" t="s">
        <v>53</v>
      </c>
      <c r="F26" s="3">
        <v>36547.58</v>
      </c>
      <c r="G26" s="2" t="s">
        <v>57</v>
      </c>
      <c r="H26" s="4">
        <v>43416</v>
      </c>
      <c r="I26" s="2">
        <v>1</v>
      </c>
      <c r="J26" s="2" t="s">
        <v>19</v>
      </c>
      <c r="K26" s="2" t="s">
        <v>38</v>
      </c>
      <c r="L26" s="1">
        <v>5.6109589041095891</v>
      </c>
      <c r="M26" s="2" t="s">
        <v>27</v>
      </c>
    </row>
    <row r="27" spans="1:13" x14ac:dyDescent="0.3">
      <c r="A27" s="2" t="s">
        <v>107</v>
      </c>
      <c r="B27" s="2" t="s">
        <v>108</v>
      </c>
      <c r="C27" s="2" t="s">
        <v>109</v>
      </c>
      <c r="D27" s="2" t="s">
        <v>35</v>
      </c>
      <c r="E27" s="2" t="s">
        <v>94</v>
      </c>
      <c r="F27" s="3">
        <v>115191.38</v>
      </c>
      <c r="G27" s="2" t="s">
        <v>37</v>
      </c>
      <c r="H27" s="4">
        <v>44004</v>
      </c>
      <c r="I27" s="2">
        <v>1</v>
      </c>
      <c r="J27" s="2" t="s">
        <v>19</v>
      </c>
      <c r="K27" s="2" t="s">
        <v>26</v>
      </c>
      <c r="L27" s="1">
        <v>4</v>
      </c>
      <c r="M27" s="2" t="s">
        <v>27</v>
      </c>
    </row>
    <row r="28" spans="1:13" x14ac:dyDescent="0.3">
      <c r="A28" s="2" t="s">
        <v>110</v>
      </c>
      <c r="B28" s="2" t="s">
        <v>111</v>
      </c>
      <c r="C28" s="2" t="s">
        <v>112</v>
      </c>
      <c r="D28" s="2" t="s">
        <v>16</v>
      </c>
      <c r="E28" s="2" t="s">
        <v>36</v>
      </c>
      <c r="F28" s="3">
        <v>58861.19</v>
      </c>
      <c r="G28" s="2" t="s">
        <v>18</v>
      </c>
      <c r="H28" s="4">
        <v>43654</v>
      </c>
      <c r="I28" s="2">
        <v>1</v>
      </c>
      <c r="J28" s="2" t="s">
        <v>19</v>
      </c>
      <c r="K28" s="2" t="s">
        <v>31</v>
      </c>
      <c r="L28" s="1">
        <v>4.9589041095890414</v>
      </c>
      <c r="M28" s="2" t="s">
        <v>27</v>
      </c>
    </row>
    <row r="29" spans="1:13" x14ac:dyDescent="0.3">
      <c r="A29" s="2" t="s">
        <v>113</v>
      </c>
      <c r="B29" s="2" t="s">
        <v>114</v>
      </c>
      <c r="C29" s="2" t="s">
        <v>115</v>
      </c>
      <c r="D29" s="2" t="s">
        <v>16</v>
      </c>
      <c r="E29" s="2" t="s">
        <v>116</v>
      </c>
      <c r="F29" s="3">
        <v>75974.990000000005</v>
      </c>
      <c r="G29" s="2" t="s">
        <v>18</v>
      </c>
      <c r="H29" s="4">
        <v>44172</v>
      </c>
      <c r="I29" s="2">
        <v>1</v>
      </c>
      <c r="J29" s="2" t="s">
        <v>19</v>
      </c>
      <c r="K29" s="2" t="s">
        <v>38</v>
      </c>
      <c r="L29" s="1">
        <v>3.5397260273972604</v>
      </c>
      <c r="M29" s="2" t="s">
        <v>27</v>
      </c>
    </row>
    <row r="30" spans="1:13" x14ac:dyDescent="0.3">
      <c r="A30" s="2" t="s">
        <v>117</v>
      </c>
      <c r="B30" s="2" t="s">
        <v>118</v>
      </c>
      <c r="C30" s="2" t="s">
        <v>119</v>
      </c>
      <c r="D30" s="2" t="s">
        <v>35</v>
      </c>
      <c r="E30" s="2" t="s">
        <v>53</v>
      </c>
      <c r="F30" s="3">
        <v>95954.02</v>
      </c>
      <c r="G30" s="2" t="s">
        <v>18</v>
      </c>
      <c r="H30" s="4">
        <v>43567</v>
      </c>
      <c r="I30" s="2">
        <v>0.3</v>
      </c>
      <c r="J30" s="2" t="s">
        <v>19</v>
      </c>
      <c r="K30" s="2" t="s">
        <v>26</v>
      </c>
      <c r="L30" s="1">
        <v>5.1972602739726028</v>
      </c>
      <c r="M30" s="2" t="s">
        <v>21</v>
      </c>
    </row>
    <row r="31" spans="1:13" x14ac:dyDescent="0.3">
      <c r="A31" s="2" t="s">
        <v>120</v>
      </c>
      <c r="B31" s="2" t="s">
        <v>121</v>
      </c>
      <c r="C31" s="2" t="s">
        <v>122</v>
      </c>
      <c r="D31" s="2" t="s">
        <v>16</v>
      </c>
      <c r="E31" s="2" t="s">
        <v>17</v>
      </c>
      <c r="F31" s="3">
        <v>102934.09</v>
      </c>
      <c r="G31" s="2" t="s">
        <v>37</v>
      </c>
      <c r="H31" s="4">
        <v>44315</v>
      </c>
      <c r="I31" s="2">
        <v>1</v>
      </c>
      <c r="J31" s="2" t="s">
        <v>19</v>
      </c>
      <c r="K31" s="2" t="s">
        <v>26</v>
      </c>
      <c r="L31" s="1">
        <v>3.1479452054794521</v>
      </c>
      <c r="M31" s="2" t="s">
        <v>27</v>
      </c>
    </row>
    <row r="32" spans="1:13" x14ac:dyDescent="0.3">
      <c r="A32" s="2" t="s">
        <v>123</v>
      </c>
      <c r="B32" s="2" t="s">
        <v>124</v>
      </c>
      <c r="C32" s="2" t="s">
        <v>125</v>
      </c>
      <c r="D32" s="2" t="s">
        <v>16</v>
      </c>
      <c r="E32" s="2" t="s">
        <v>126</v>
      </c>
      <c r="F32" s="3">
        <v>41934.71</v>
      </c>
      <c r="G32" s="2" t="s">
        <v>57</v>
      </c>
      <c r="H32" s="4">
        <v>43780</v>
      </c>
      <c r="I32" s="2">
        <v>1</v>
      </c>
      <c r="J32" s="2" t="s">
        <v>19</v>
      </c>
      <c r="K32" s="2" t="s">
        <v>38</v>
      </c>
      <c r="L32" s="1">
        <v>4.6136986301369864</v>
      </c>
      <c r="M32" s="2" t="s">
        <v>27</v>
      </c>
    </row>
    <row r="33" spans="1:13" x14ac:dyDescent="0.3">
      <c r="A33" s="2" t="s">
        <v>127</v>
      </c>
      <c r="B33" s="2" t="s">
        <v>128</v>
      </c>
      <c r="C33" s="2" t="s">
        <v>129</v>
      </c>
      <c r="D33" s="2" t="s">
        <v>35</v>
      </c>
      <c r="E33" s="2" t="s">
        <v>94</v>
      </c>
      <c r="F33" s="3">
        <v>104335.03999999999</v>
      </c>
      <c r="G33" s="2" t="s">
        <v>37</v>
      </c>
      <c r="H33" s="4">
        <v>43874</v>
      </c>
      <c r="I33" s="2">
        <v>1</v>
      </c>
      <c r="J33" s="2" t="s">
        <v>19</v>
      </c>
      <c r="K33" s="2" t="s">
        <v>31</v>
      </c>
      <c r="L33" s="1">
        <v>4.3561643835616435</v>
      </c>
      <c r="M33" s="2" t="s">
        <v>27</v>
      </c>
    </row>
    <row r="34" spans="1:13" x14ac:dyDescent="0.3">
      <c r="A34" s="2" t="s">
        <v>130</v>
      </c>
      <c r="B34" s="2" t="s">
        <v>131</v>
      </c>
      <c r="C34" s="2" t="s">
        <v>132</v>
      </c>
      <c r="D34" s="2" t="s">
        <v>16</v>
      </c>
      <c r="E34" s="2" t="s">
        <v>87</v>
      </c>
      <c r="F34" s="3">
        <v>81897.789999999994</v>
      </c>
      <c r="G34" s="2" t="s">
        <v>18</v>
      </c>
      <c r="H34" s="4">
        <v>43146</v>
      </c>
      <c r="I34" s="2">
        <v>1</v>
      </c>
      <c r="J34" s="2" t="s">
        <v>19</v>
      </c>
      <c r="K34" s="2" t="s">
        <v>80</v>
      </c>
      <c r="L34" s="1">
        <v>6.3506849315068497</v>
      </c>
      <c r="M34" s="2" t="s">
        <v>27</v>
      </c>
    </row>
    <row r="35" spans="1:13" x14ac:dyDescent="0.3">
      <c r="A35" s="2" t="s">
        <v>133</v>
      </c>
      <c r="B35" s="2" t="s">
        <v>134</v>
      </c>
      <c r="C35" s="2" t="s">
        <v>135</v>
      </c>
      <c r="D35" s="2" t="s">
        <v>16</v>
      </c>
      <c r="E35" s="2" t="s">
        <v>36</v>
      </c>
      <c r="F35" s="3">
        <v>78378.2</v>
      </c>
      <c r="G35" s="2" t="s">
        <v>18</v>
      </c>
      <c r="H35" s="4">
        <v>43465</v>
      </c>
      <c r="I35" s="2">
        <v>0.4</v>
      </c>
      <c r="J35" s="2" t="s">
        <v>19</v>
      </c>
      <c r="K35" s="2" t="s">
        <v>38</v>
      </c>
      <c r="L35" s="1">
        <v>5.4767123287671229</v>
      </c>
      <c r="M35" s="2" t="s">
        <v>21</v>
      </c>
    </row>
    <row r="36" spans="1:13" x14ac:dyDescent="0.3">
      <c r="A36" s="2" t="s">
        <v>136</v>
      </c>
      <c r="B36" s="2" t="s">
        <v>137</v>
      </c>
      <c r="C36" s="2" t="s">
        <v>138</v>
      </c>
      <c r="D36" s="2" t="s">
        <v>16</v>
      </c>
      <c r="E36" s="2" t="s">
        <v>64</v>
      </c>
      <c r="F36" s="3">
        <v>61994.76</v>
      </c>
      <c r="G36" s="2" t="s">
        <v>18</v>
      </c>
      <c r="H36" s="4">
        <v>43794</v>
      </c>
      <c r="I36" s="2">
        <v>0.3</v>
      </c>
      <c r="J36" s="2" t="s">
        <v>19</v>
      </c>
      <c r="K36" s="2" t="s">
        <v>26</v>
      </c>
      <c r="L36" s="1">
        <v>4.5753424657534243</v>
      </c>
      <c r="M36" s="2" t="s">
        <v>21</v>
      </c>
    </row>
    <row r="37" spans="1:13" x14ac:dyDescent="0.3">
      <c r="A37" s="2" t="s">
        <v>139</v>
      </c>
      <c r="B37" s="2" t="s">
        <v>140</v>
      </c>
      <c r="C37" s="2" t="s">
        <v>141</v>
      </c>
      <c r="D37" s="2" t="s">
        <v>35</v>
      </c>
      <c r="E37" s="2" t="s">
        <v>42</v>
      </c>
      <c r="F37" s="3">
        <v>37362.300000000003</v>
      </c>
      <c r="G37" s="2" t="s">
        <v>57</v>
      </c>
      <c r="H37" s="4">
        <v>43642</v>
      </c>
      <c r="I37" s="2">
        <v>1</v>
      </c>
      <c r="J37" s="2" t="s">
        <v>19</v>
      </c>
      <c r="K37" s="2" t="s">
        <v>80</v>
      </c>
      <c r="L37" s="1">
        <v>4.9917808219178079</v>
      </c>
      <c r="M37" s="2" t="s">
        <v>27</v>
      </c>
    </row>
    <row r="38" spans="1:13" x14ac:dyDescent="0.3">
      <c r="A38" s="2" t="s">
        <v>142</v>
      </c>
      <c r="B38" s="2" t="s">
        <v>143</v>
      </c>
      <c r="C38" s="2" t="s">
        <v>144</v>
      </c>
      <c r="D38" s="2" t="s">
        <v>16</v>
      </c>
      <c r="E38" s="2" t="s">
        <v>17</v>
      </c>
      <c r="F38" s="3">
        <v>84745.93</v>
      </c>
      <c r="G38" s="2" t="s">
        <v>18</v>
      </c>
      <c r="H38" s="4">
        <v>43707</v>
      </c>
      <c r="I38" s="2">
        <v>1</v>
      </c>
      <c r="J38" s="2" t="s">
        <v>19</v>
      </c>
      <c r="K38" s="2" t="s">
        <v>20</v>
      </c>
      <c r="L38" s="1">
        <v>4.8136986301369866</v>
      </c>
      <c r="M38" s="2" t="s">
        <v>27</v>
      </c>
    </row>
    <row r="39" spans="1:13" x14ac:dyDescent="0.3">
      <c r="A39" s="2" t="s">
        <v>145</v>
      </c>
      <c r="B39" s="2" t="s">
        <v>146</v>
      </c>
      <c r="C39" s="2" t="s">
        <v>147</v>
      </c>
      <c r="D39" s="2" t="s">
        <v>35</v>
      </c>
      <c r="E39" s="2" t="s">
        <v>126</v>
      </c>
      <c r="F39" s="3">
        <v>32192.15</v>
      </c>
      <c r="G39" s="2" t="s">
        <v>57</v>
      </c>
      <c r="H39" s="4">
        <v>44473</v>
      </c>
      <c r="I39" s="2">
        <v>1</v>
      </c>
      <c r="J39" s="2" t="s">
        <v>19</v>
      </c>
      <c r="K39" s="2" t="s">
        <v>26</v>
      </c>
      <c r="L39" s="1">
        <v>2.7150684931506848</v>
      </c>
      <c r="M39" s="2" t="s">
        <v>27</v>
      </c>
    </row>
    <row r="40" spans="1:13" x14ac:dyDescent="0.3">
      <c r="A40" s="2" t="s">
        <v>148</v>
      </c>
      <c r="B40" s="2" t="s">
        <v>149</v>
      </c>
      <c r="C40" s="2" t="s">
        <v>150</v>
      </c>
      <c r="D40" s="2" t="s">
        <v>35</v>
      </c>
      <c r="E40" s="2" t="s">
        <v>116</v>
      </c>
      <c r="F40" s="3">
        <v>36714.379999999997</v>
      </c>
      <c r="G40" s="2" t="s">
        <v>57</v>
      </c>
      <c r="H40" s="4">
        <v>44175</v>
      </c>
      <c r="I40" s="2">
        <v>1</v>
      </c>
      <c r="J40" s="2" t="s">
        <v>19</v>
      </c>
      <c r="K40" s="2" t="s">
        <v>72</v>
      </c>
      <c r="L40" s="1">
        <v>3.5315068493150683</v>
      </c>
      <c r="M40" s="2" t="s">
        <v>27</v>
      </c>
    </row>
    <row r="41" spans="1:13" x14ac:dyDescent="0.3">
      <c r="A41" s="2" t="s">
        <v>151</v>
      </c>
      <c r="B41" s="2" t="s">
        <v>152</v>
      </c>
      <c r="C41" s="2" t="s">
        <v>153</v>
      </c>
      <c r="D41" s="2" t="s">
        <v>16</v>
      </c>
      <c r="E41" s="2" t="s">
        <v>87</v>
      </c>
      <c r="F41" s="3">
        <v>89690.38</v>
      </c>
      <c r="G41" s="2" t="s">
        <v>18</v>
      </c>
      <c r="H41" s="4">
        <v>43206</v>
      </c>
      <c r="I41" s="2">
        <v>1</v>
      </c>
      <c r="J41" s="2" t="s">
        <v>19</v>
      </c>
      <c r="K41" s="2" t="s">
        <v>20</v>
      </c>
      <c r="L41" s="1">
        <v>6.1863013698630134</v>
      </c>
      <c r="M41" s="2" t="s">
        <v>27</v>
      </c>
    </row>
    <row r="42" spans="1:13" x14ac:dyDescent="0.3">
      <c r="A42" s="2" t="s">
        <v>154</v>
      </c>
      <c r="B42" s="2" t="s">
        <v>155</v>
      </c>
      <c r="C42" s="2" t="s">
        <v>156</v>
      </c>
      <c r="D42" s="2" t="s">
        <v>16</v>
      </c>
      <c r="E42" s="2" t="s">
        <v>126</v>
      </c>
      <c r="F42" s="3">
        <v>39535.49</v>
      </c>
      <c r="G42" s="2" t="s">
        <v>57</v>
      </c>
      <c r="H42" s="4">
        <v>43397</v>
      </c>
      <c r="I42" s="2">
        <v>0.3</v>
      </c>
      <c r="J42" s="2" t="s">
        <v>19</v>
      </c>
      <c r="K42" s="2" t="s">
        <v>38</v>
      </c>
      <c r="L42" s="1">
        <v>5.6630136986301371</v>
      </c>
      <c r="M42" s="2" t="s">
        <v>21</v>
      </c>
    </row>
    <row r="43" spans="1:13" x14ac:dyDescent="0.3">
      <c r="A43" s="2" t="s">
        <v>157</v>
      </c>
      <c r="B43" s="2" t="s">
        <v>158</v>
      </c>
      <c r="C43" s="2" t="s">
        <v>159</v>
      </c>
      <c r="D43" s="2" t="s">
        <v>35</v>
      </c>
      <c r="E43" s="2" t="s">
        <v>126</v>
      </c>
      <c r="F43" s="3">
        <v>62195.47</v>
      </c>
      <c r="G43" s="2" t="s">
        <v>18</v>
      </c>
      <c r="H43" s="4">
        <v>44434</v>
      </c>
      <c r="I43" s="2">
        <v>1</v>
      </c>
      <c r="J43" s="2" t="s">
        <v>19</v>
      </c>
      <c r="K43" s="2" t="s">
        <v>38</v>
      </c>
      <c r="L43" s="1">
        <v>2.8219178082191783</v>
      </c>
      <c r="M43" s="2" t="s">
        <v>27</v>
      </c>
    </row>
    <row r="44" spans="1:13" x14ac:dyDescent="0.3">
      <c r="A44" s="2" t="s">
        <v>160</v>
      </c>
      <c r="B44" s="2" t="s">
        <v>161</v>
      </c>
      <c r="C44" s="2" t="s">
        <v>162</v>
      </c>
      <c r="D44" s="2" t="s">
        <v>35</v>
      </c>
      <c r="E44" s="2" t="s">
        <v>64</v>
      </c>
      <c r="F44" s="3">
        <v>72876.91</v>
      </c>
      <c r="G44" s="2" t="s">
        <v>18</v>
      </c>
      <c r="H44" s="4">
        <v>43837</v>
      </c>
      <c r="I44" s="2">
        <v>1</v>
      </c>
      <c r="J44" s="2" t="s">
        <v>19</v>
      </c>
      <c r="K44" s="2" t="s">
        <v>38</v>
      </c>
      <c r="L44" s="1">
        <v>4.4575342465753423</v>
      </c>
      <c r="M44" s="2" t="s">
        <v>27</v>
      </c>
    </row>
    <row r="45" spans="1:13" x14ac:dyDescent="0.3">
      <c r="A45" s="2" t="s">
        <v>163</v>
      </c>
      <c r="B45" s="2" t="s">
        <v>164</v>
      </c>
      <c r="C45" s="2" t="s">
        <v>165</v>
      </c>
      <c r="D45" s="2" t="s">
        <v>35</v>
      </c>
      <c r="E45" s="2" t="s">
        <v>49</v>
      </c>
      <c r="F45" s="3">
        <v>66572.58</v>
      </c>
      <c r="G45" s="2" t="s">
        <v>18</v>
      </c>
      <c r="H45" s="4">
        <v>44193</v>
      </c>
      <c r="I45" s="2">
        <v>1</v>
      </c>
      <c r="J45" s="2" t="s">
        <v>19</v>
      </c>
      <c r="K45" s="2" t="s">
        <v>72</v>
      </c>
      <c r="L45" s="1">
        <v>3.4821917808219176</v>
      </c>
      <c r="M45" s="2" t="s">
        <v>27</v>
      </c>
    </row>
    <row r="46" spans="1:13" x14ac:dyDescent="0.3">
      <c r="A46" s="2" t="s">
        <v>163</v>
      </c>
      <c r="B46" s="2" t="s">
        <v>166</v>
      </c>
      <c r="C46" s="2" t="s">
        <v>167</v>
      </c>
      <c r="D46" s="2" t="s">
        <v>35</v>
      </c>
      <c r="E46" s="2" t="s">
        <v>49</v>
      </c>
      <c r="F46" s="3">
        <v>66572.58</v>
      </c>
      <c r="G46" s="2" t="s">
        <v>18</v>
      </c>
      <c r="H46" s="4">
        <v>44193</v>
      </c>
      <c r="I46" s="2">
        <v>1</v>
      </c>
      <c r="J46" s="2" t="s">
        <v>19</v>
      </c>
      <c r="K46" s="2" t="s">
        <v>72</v>
      </c>
      <c r="L46" s="1">
        <v>3.4821917808219176</v>
      </c>
      <c r="M46" s="2" t="s">
        <v>27</v>
      </c>
    </row>
    <row r="47" spans="1:13" x14ac:dyDescent="0.3">
      <c r="A47" s="2" t="s">
        <v>168</v>
      </c>
      <c r="B47" s="2" t="s">
        <v>169</v>
      </c>
      <c r="C47" s="2" t="s">
        <v>170</v>
      </c>
      <c r="D47" s="2" t="s">
        <v>16</v>
      </c>
      <c r="E47" s="2" t="s">
        <v>64</v>
      </c>
      <c r="F47" s="3">
        <v>35943.620000000003</v>
      </c>
      <c r="G47" s="2" t="s">
        <v>57</v>
      </c>
      <c r="H47" s="4">
        <v>44078</v>
      </c>
      <c r="I47" s="2">
        <v>1</v>
      </c>
      <c r="J47" s="2" t="s">
        <v>19</v>
      </c>
      <c r="K47" s="2" t="s">
        <v>31</v>
      </c>
      <c r="L47" s="1">
        <v>3.7972602739726029</v>
      </c>
      <c r="M47" s="2" t="s">
        <v>27</v>
      </c>
    </row>
    <row r="48" spans="1:13" x14ac:dyDescent="0.3">
      <c r="A48" s="2" t="s">
        <v>171</v>
      </c>
      <c r="B48" s="2" t="s">
        <v>172</v>
      </c>
      <c r="C48" s="2" t="s">
        <v>173</v>
      </c>
      <c r="D48" s="2" t="s">
        <v>35</v>
      </c>
      <c r="E48" s="2" t="s">
        <v>53</v>
      </c>
      <c r="F48" s="3">
        <v>119022.49</v>
      </c>
      <c r="G48" s="2" t="s">
        <v>37</v>
      </c>
      <c r="H48" s="4">
        <v>44431</v>
      </c>
      <c r="I48" s="2">
        <v>1</v>
      </c>
      <c r="J48" s="2" t="s">
        <v>19</v>
      </c>
      <c r="K48" s="2" t="s">
        <v>80</v>
      </c>
      <c r="L48" s="1">
        <v>2.8301369863013699</v>
      </c>
      <c r="M48" s="2" t="s">
        <v>27</v>
      </c>
    </row>
    <row r="49" spans="1:13" x14ac:dyDescent="0.3">
      <c r="A49" s="2" t="s">
        <v>174</v>
      </c>
      <c r="B49" s="2" t="s">
        <v>175</v>
      </c>
      <c r="C49" s="2" t="s">
        <v>176</v>
      </c>
      <c r="D49" s="2" t="s">
        <v>35</v>
      </c>
      <c r="E49" s="2" t="s">
        <v>42</v>
      </c>
      <c r="F49" s="3">
        <v>65699.02</v>
      </c>
      <c r="G49" s="2" t="s">
        <v>18</v>
      </c>
      <c r="H49" s="4">
        <v>43951</v>
      </c>
      <c r="I49" s="2">
        <v>1</v>
      </c>
      <c r="J49" s="2" t="s">
        <v>19</v>
      </c>
      <c r="K49" s="2" t="s">
        <v>31</v>
      </c>
      <c r="L49" s="1">
        <v>4.1452054794520548</v>
      </c>
      <c r="M49" s="2" t="s">
        <v>27</v>
      </c>
    </row>
    <row r="50" spans="1:13" x14ac:dyDescent="0.3">
      <c r="A50" s="2" t="s">
        <v>177</v>
      </c>
      <c r="B50" s="2" t="s">
        <v>178</v>
      </c>
      <c r="C50" s="2" t="s">
        <v>179</v>
      </c>
      <c r="D50" s="2" t="s">
        <v>16</v>
      </c>
      <c r="E50" s="2" t="s">
        <v>126</v>
      </c>
      <c r="F50" s="3">
        <v>47551.89</v>
      </c>
      <c r="G50" s="2" t="s">
        <v>57</v>
      </c>
      <c r="H50" s="4">
        <v>43468</v>
      </c>
      <c r="I50" s="2">
        <v>1</v>
      </c>
      <c r="J50" s="2" t="s">
        <v>19</v>
      </c>
      <c r="K50" s="2" t="s">
        <v>80</v>
      </c>
      <c r="L50" s="1">
        <v>5.4684931506849317</v>
      </c>
      <c r="M50" s="2" t="s">
        <v>27</v>
      </c>
    </row>
    <row r="51" spans="1:13" x14ac:dyDescent="0.3">
      <c r="A51" s="2" t="s">
        <v>180</v>
      </c>
      <c r="B51" s="2" t="s">
        <v>29</v>
      </c>
      <c r="C51" s="2" t="s">
        <v>30</v>
      </c>
      <c r="D51" s="2" t="s">
        <v>16</v>
      </c>
      <c r="E51" s="2" t="s">
        <v>25</v>
      </c>
      <c r="F51" s="3">
        <v>80695.740000000005</v>
      </c>
      <c r="G51" s="2" t="s">
        <v>18</v>
      </c>
      <c r="H51" s="4">
        <v>43787</v>
      </c>
      <c r="I51" s="2">
        <v>0.8</v>
      </c>
      <c r="J51" s="2" t="s">
        <v>19</v>
      </c>
      <c r="K51" s="2" t="s">
        <v>31</v>
      </c>
      <c r="L51" s="1">
        <v>4.5945205479452058</v>
      </c>
      <c r="M51" s="2" t="s">
        <v>21</v>
      </c>
    </row>
    <row r="52" spans="1:13" x14ac:dyDescent="0.3">
      <c r="A52" s="2" t="s">
        <v>181</v>
      </c>
      <c r="B52" s="2" t="s">
        <v>182</v>
      </c>
      <c r="C52" s="2" t="s">
        <v>183</v>
      </c>
      <c r="D52" s="2" t="s">
        <v>16</v>
      </c>
      <c r="E52" s="2" t="s">
        <v>68</v>
      </c>
      <c r="F52" s="3">
        <v>92336.08</v>
      </c>
      <c r="G52" s="2" t="s">
        <v>18</v>
      </c>
      <c r="H52" s="4">
        <v>44431</v>
      </c>
      <c r="I52" s="2">
        <v>1</v>
      </c>
      <c r="J52" s="2" t="s">
        <v>19</v>
      </c>
      <c r="K52" s="2" t="s">
        <v>26</v>
      </c>
      <c r="L52" s="1">
        <v>2.8301369863013699</v>
      </c>
      <c r="M52" s="2" t="s">
        <v>27</v>
      </c>
    </row>
    <row r="53" spans="1:13" x14ac:dyDescent="0.3">
      <c r="A53" s="2" t="s">
        <v>184</v>
      </c>
      <c r="B53" s="2" t="s">
        <v>185</v>
      </c>
      <c r="C53" s="2" t="s">
        <v>186</v>
      </c>
      <c r="D53" s="2" t="s">
        <v>16</v>
      </c>
      <c r="E53" s="2" t="s">
        <v>25</v>
      </c>
      <c r="F53" s="3">
        <v>69192.850000000006</v>
      </c>
      <c r="G53" s="2" t="s">
        <v>18</v>
      </c>
      <c r="H53" s="4">
        <v>44305</v>
      </c>
      <c r="I53" s="2">
        <v>1</v>
      </c>
      <c r="J53" s="2" t="s">
        <v>19</v>
      </c>
      <c r="K53" s="2" t="s">
        <v>31</v>
      </c>
      <c r="L53" s="1">
        <v>3.1753424657534248</v>
      </c>
      <c r="M53" s="2" t="s">
        <v>27</v>
      </c>
    </row>
    <row r="54" spans="1:13" x14ac:dyDescent="0.3">
      <c r="A54" s="2" t="s">
        <v>187</v>
      </c>
      <c r="B54" s="2" t="s">
        <v>188</v>
      </c>
      <c r="C54" s="2" t="s">
        <v>189</v>
      </c>
      <c r="D54" s="2" t="s">
        <v>190</v>
      </c>
      <c r="E54" s="2" t="s">
        <v>116</v>
      </c>
      <c r="F54" s="3">
        <v>104802.63</v>
      </c>
      <c r="G54" s="2" t="s">
        <v>37</v>
      </c>
      <c r="H54" s="4">
        <v>44502</v>
      </c>
      <c r="I54" s="2">
        <v>1</v>
      </c>
      <c r="J54" s="2" t="s">
        <v>19</v>
      </c>
      <c r="K54" s="2" t="s">
        <v>26</v>
      </c>
      <c r="L54" s="1">
        <v>2.6356164383561644</v>
      </c>
      <c r="M54" s="2" t="s">
        <v>27</v>
      </c>
    </row>
    <row r="55" spans="1:13" x14ac:dyDescent="0.3">
      <c r="A55" s="2" t="s">
        <v>191</v>
      </c>
      <c r="B55" s="2" t="s">
        <v>192</v>
      </c>
      <c r="C55" s="2" t="s">
        <v>193</v>
      </c>
      <c r="D55" s="2" t="s">
        <v>16</v>
      </c>
      <c r="E55" s="2" t="s">
        <v>25</v>
      </c>
      <c r="F55" s="3">
        <v>98000</v>
      </c>
      <c r="G55" s="2" t="s">
        <v>18</v>
      </c>
      <c r="H55" s="4">
        <v>43710</v>
      </c>
      <c r="I55" s="2">
        <v>0.9</v>
      </c>
      <c r="J55" s="2" t="s">
        <v>19</v>
      </c>
      <c r="K55" s="2" t="s">
        <v>76</v>
      </c>
      <c r="L55" s="1">
        <v>4.8054794520547945</v>
      </c>
      <c r="M55" s="2" t="s">
        <v>21</v>
      </c>
    </row>
    <row r="56" spans="1:13" x14ac:dyDescent="0.3">
      <c r="A56" s="2" t="s">
        <v>194</v>
      </c>
      <c r="B56" s="2" t="s">
        <v>195</v>
      </c>
      <c r="C56" s="2" t="s">
        <v>196</v>
      </c>
      <c r="D56" s="2" t="s">
        <v>16</v>
      </c>
      <c r="E56" s="2" t="s">
        <v>126</v>
      </c>
      <c r="F56" s="3">
        <v>77045.440000000002</v>
      </c>
      <c r="G56" s="2" t="s">
        <v>18</v>
      </c>
      <c r="H56" s="4">
        <v>43636</v>
      </c>
      <c r="I56" s="2">
        <v>1</v>
      </c>
      <c r="J56" s="2" t="s">
        <v>19</v>
      </c>
      <c r="K56" s="2" t="s">
        <v>38</v>
      </c>
      <c r="L56" s="1">
        <v>5.0082191780821921</v>
      </c>
      <c r="M56" s="2" t="s">
        <v>27</v>
      </c>
    </row>
    <row r="57" spans="1:13" x14ac:dyDescent="0.3">
      <c r="A57" s="2" t="s">
        <v>197</v>
      </c>
      <c r="B57" s="2" t="s">
        <v>198</v>
      </c>
      <c r="C57" s="2" t="s">
        <v>199</v>
      </c>
      <c r="D57" s="2" t="s">
        <v>35</v>
      </c>
      <c r="E57" s="2" t="s">
        <v>25</v>
      </c>
      <c r="F57" s="3">
        <v>110042.37</v>
      </c>
      <c r="G57" s="2" t="s">
        <v>37</v>
      </c>
      <c r="H57" s="4">
        <v>43914</v>
      </c>
      <c r="I57" s="2">
        <v>1</v>
      </c>
      <c r="J57" s="2" t="s">
        <v>19</v>
      </c>
      <c r="K57" s="2" t="s">
        <v>31</v>
      </c>
      <c r="L57" s="1">
        <v>4.2465753424657535</v>
      </c>
      <c r="M57" s="2" t="s">
        <v>27</v>
      </c>
    </row>
    <row r="58" spans="1:13" x14ac:dyDescent="0.3">
      <c r="A58" s="2" t="s">
        <v>200</v>
      </c>
      <c r="B58" s="2" t="s">
        <v>201</v>
      </c>
      <c r="C58" s="2" t="s">
        <v>202</v>
      </c>
      <c r="D58" s="2" t="s">
        <v>35</v>
      </c>
      <c r="E58" s="2" t="s">
        <v>68</v>
      </c>
      <c r="F58" s="3">
        <v>62281.24</v>
      </c>
      <c r="G58" s="2" t="s">
        <v>18</v>
      </c>
      <c r="H58" s="4">
        <v>43272</v>
      </c>
      <c r="I58" s="2">
        <v>1</v>
      </c>
      <c r="J58" s="2" t="s">
        <v>19</v>
      </c>
      <c r="K58" s="2" t="s">
        <v>38</v>
      </c>
      <c r="L58" s="1">
        <v>6.0054794520547947</v>
      </c>
      <c r="M58" s="2" t="s">
        <v>27</v>
      </c>
    </row>
    <row r="59" spans="1:13" x14ac:dyDescent="0.3">
      <c r="A59" s="2" t="s">
        <v>203</v>
      </c>
      <c r="B59" s="2" t="s">
        <v>204</v>
      </c>
      <c r="C59" s="2" t="s">
        <v>205</v>
      </c>
      <c r="D59" s="2" t="s">
        <v>16</v>
      </c>
      <c r="E59" s="2" t="s">
        <v>17</v>
      </c>
      <c r="F59" s="3">
        <v>86010.54</v>
      </c>
      <c r="G59" s="2" t="s">
        <v>18</v>
      </c>
      <c r="H59" s="4">
        <v>43164</v>
      </c>
      <c r="I59" s="2">
        <v>1</v>
      </c>
      <c r="J59" s="2" t="s">
        <v>19</v>
      </c>
      <c r="K59" s="2" t="s">
        <v>72</v>
      </c>
      <c r="L59" s="1">
        <v>6.3013698630136989</v>
      </c>
      <c r="M59" s="2" t="s">
        <v>27</v>
      </c>
    </row>
    <row r="60" spans="1:13" x14ac:dyDescent="0.3">
      <c r="A60" s="2" t="s">
        <v>206</v>
      </c>
      <c r="B60" s="2" t="s">
        <v>207</v>
      </c>
      <c r="C60" s="2" t="s">
        <v>208</v>
      </c>
      <c r="D60" s="2" t="s">
        <v>35</v>
      </c>
      <c r="E60" s="2" t="s">
        <v>36</v>
      </c>
      <c r="F60" s="3">
        <v>118976.16</v>
      </c>
      <c r="G60" s="2" t="s">
        <v>37</v>
      </c>
      <c r="H60" s="4">
        <v>44120</v>
      </c>
      <c r="I60" s="2">
        <v>1</v>
      </c>
      <c r="J60" s="2" t="s">
        <v>19</v>
      </c>
      <c r="K60" s="2" t="s">
        <v>20</v>
      </c>
      <c r="L60" s="1">
        <v>3.6821917808219178</v>
      </c>
      <c r="M60" s="2" t="s">
        <v>27</v>
      </c>
    </row>
    <row r="61" spans="1:13" x14ac:dyDescent="0.3">
      <c r="A61" s="2" t="s">
        <v>209</v>
      </c>
      <c r="B61" s="2" t="s">
        <v>210</v>
      </c>
      <c r="C61" s="2" t="s">
        <v>211</v>
      </c>
      <c r="D61" s="2" t="s">
        <v>16</v>
      </c>
      <c r="E61" s="2" t="s">
        <v>87</v>
      </c>
      <c r="F61" s="3">
        <v>71229.42</v>
      </c>
      <c r="G61" s="2" t="s">
        <v>18</v>
      </c>
      <c r="H61" s="4">
        <v>44166</v>
      </c>
      <c r="I61" s="2">
        <v>1</v>
      </c>
      <c r="J61" s="2" t="s">
        <v>19</v>
      </c>
      <c r="K61" s="2" t="s">
        <v>26</v>
      </c>
      <c r="L61" s="1">
        <v>3.5561643835616437</v>
      </c>
      <c r="M61" s="2" t="s">
        <v>27</v>
      </c>
    </row>
    <row r="62" spans="1:13" x14ac:dyDescent="0.3">
      <c r="A62" s="2" t="s">
        <v>212</v>
      </c>
      <c r="B62" s="2" t="s">
        <v>213</v>
      </c>
      <c r="C62" s="2" t="s">
        <v>214</v>
      </c>
      <c r="D62" s="2" t="s">
        <v>16</v>
      </c>
      <c r="E62" s="2" t="s">
        <v>49</v>
      </c>
      <c r="F62" s="3">
        <v>61213.01</v>
      </c>
      <c r="G62" s="2" t="s">
        <v>18</v>
      </c>
      <c r="H62" s="4">
        <v>44365</v>
      </c>
      <c r="I62" s="2">
        <v>1</v>
      </c>
      <c r="J62" s="2" t="s">
        <v>19</v>
      </c>
      <c r="K62" s="2" t="s">
        <v>72</v>
      </c>
      <c r="L62" s="1">
        <v>3.010958904109589</v>
      </c>
      <c r="M62" s="2" t="s">
        <v>27</v>
      </c>
    </row>
    <row r="63" spans="1:13" x14ac:dyDescent="0.3">
      <c r="A63" s="2" t="s">
        <v>215</v>
      </c>
      <c r="B63" s="2" t="s">
        <v>216</v>
      </c>
      <c r="C63" s="2" t="s">
        <v>217</v>
      </c>
      <c r="D63" s="2" t="s">
        <v>35</v>
      </c>
      <c r="E63" s="2" t="s">
        <v>42</v>
      </c>
      <c r="F63" s="3">
        <v>40753.54</v>
      </c>
      <c r="G63" s="2" t="s">
        <v>57</v>
      </c>
      <c r="H63" s="4">
        <v>43152</v>
      </c>
      <c r="I63" s="2">
        <v>0.6</v>
      </c>
      <c r="J63" s="2" t="s">
        <v>19</v>
      </c>
      <c r="K63" s="2" t="s">
        <v>20</v>
      </c>
      <c r="L63" s="1">
        <v>6.3342465753424655</v>
      </c>
      <c r="M63" s="2" t="s">
        <v>21</v>
      </c>
    </row>
    <row r="64" spans="1:13" x14ac:dyDescent="0.3">
      <c r="A64" s="2" t="s">
        <v>218</v>
      </c>
      <c r="B64" s="2" t="s">
        <v>124</v>
      </c>
      <c r="C64" s="2" t="s">
        <v>125</v>
      </c>
      <c r="D64" s="2" t="s">
        <v>16</v>
      </c>
      <c r="E64" s="2" t="s">
        <v>126</v>
      </c>
      <c r="F64" s="3">
        <v>41934.71</v>
      </c>
      <c r="G64" s="2" t="s">
        <v>57</v>
      </c>
      <c r="H64" s="4">
        <v>43943</v>
      </c>
      <c r="I64" s="2">
        <v>1</v>
      </c>
      <c r="J64" s="2" t="s">
        <v>19</v>
      </c>
      <c r="K64" s="2" t="s">
        <v>38</v>
      </c>
      <c r="L64" s="1">
        <v>4.1671232876712327</v>
      </c>
      <c r="M64" s="2" t="s">
        <v>27</v>
      </c>
    </row>
    <row r="65" spans="1:13" x14ac:dyDescent="0.3">
      <c r="A65" s="2" t="s">
        <v>219</v>
      </c>
      <c r="B65" s="2" t="s">
        <v>220</v>
      </c>
      <c r="C65" s="2" t="s">
        <v>221</v>
      </c>
      <c r="D65" s="2" t="s">
        <v>16</v>
      </c>
      <c r="E65" s="2" t="s">
        <v>49</v>
      </c>
      <c r="F65" s="3">
        <v>111049.84</v>
      </c>
      <c r="G65" s="2" t="s">
        <v>37</v>
      </c>
      <c r="H65" s="4">
        <v>44393</v>
      </c>
      <c r="I65" s="2">
        <v>1</v>
      </c>
      <c r="J65" s="2" t="s">
        <v>19</v>
      </c>
      <c r="K65" s="2" t="s">
        <v>20</v>
      </c>
      <c r="L65" s="1">
        <v>2.9342465753424656</v>
      </c>
      <c r="M65" s="2" t="s">
        <v>27</v>
      </c>
    </row>
    <row r="66" spans="1:13" x14ac:dyDescent="0.3">
      <c r="A66" s="2" t="s">
        <v>222</v>
      </c>
      <c r="B66" s="2" t="s">
        <v>223</v>
      </c>
      <c r="C66" s="2" t="s">
        <v>224</v>
      </c>
      <c r="D66" s="2" t="s">
        <v>35</v>
      </c>
      <c r="E66" s="2" t="s">
        <v>68</v>
      </c>
      <c r="F66" s="3">
        <v>74279.009999999995</v>
      </c>
      <c r="G66" s="2" t="s">
        <v>18</v>
      </c>
      <c r="H66" s="4">
        <v>43466</v>
      </c>
      <c r="I66" s="2">
        <v>1</v>
      </c>
      <c r="J66" s="2" t="s">
        <v>19</v>
      </c>
      <c r="K66" s="2" t="s">
        <v>20</v>
      </c>
      <c r="L66" s="1">
        <v>5.4739726027397264</v>
      </c>
      <c r="M66" s="2" t="s">
        <v>27</v>
      </c>
    </row>
    <row r="67" spans="1:13" x14ac:dyDescent="0.3">
      <c r="A67" s="2" t="s">
        <v>225</v>
      </c>
      <c r="B67" s="2" t="s">
        <v>226</v>
      </c>
      <c r="C67" s="2" t="s">
        <v>227</v>
      </c>
      <c r="D67" s="2" t="s">
        <v>35</v>
      </c>
      <c r="E67" s="2" t="s">
        <v>116</v>
      </c>
      <c r="F67" s="3">
        <v>54137.05</v>
      </c>
      <c r="G67" s="2" t="s">
        <v>18</v>
      </c>
      <c r="H67" s="4">
        <v>43763</v>
      </c>
      <c r="I67" s="2">
        <v>1</v>
      </c>
      <c r="J67" s="2" t="s">
        <v>19</v>
      </c>
      <c r="K67" s="2" t="s">
        <v>38</v>
      </c>
      <c r="L67" s="1">
        <v>4.6602739726027398</v>
      </c>
      <c r="M67" s="2" t="s">
        <v>27</v>
      </c>
    </row>
    <row r="68" spans="1:13" x14ac:dyDescent="0.3">
      <c r="A68" s="2" t="s">
        <v>228</v>
      </c>
      <c r="B68" s="2" t="s">
        <v>229</v>
      </c>
      <c r="C68" s="2" t="s">
        <v>230</v>
      </c>
      <c r="D68" s="2" t="s">
        <v>16</v>
      </c>
      <c r="E68" s="2" t="s">
        <v>87</v>
      </c>
      <c r="F68" s="3">
        <v>89690.38</v>
      </c>
      <c r="G68" s="2" t="s">
        <v>18</v>
      </c>
      <c r="H68" s="4">
        <v>43213</v>
      </c>
      <c r="I68" s="2">
        <v>1</v>
      </c>
      <c r="J68" s="2" t="s">
        <v>19</v>
      </c>
      <c r="K68" s="2" t="s">
        <v>26</v>
      </c>
      <c r="L68" s="1">
        <v>6.1671232876712327</v>
      </c>
      <c r="M68" s="2" t="s">
        <v>27</v>
      </c>
    </row>
    <row r="69" spans="1:13" x14ac:dyDescent="0.3">
      <c r="A69" s="2" t="s">
        <v>231</v>
      </c>
      <c r="B69" s="2" t="s">
        <v>232</v>
      </c>
      <c r="C69" s="2" t="s">
        <v>233</v>
      </c>
      <c r="D69" s="2" t="s">
        <v>16</v>
      </c>
      <c r="E69" s="2" t="s">
        <v>94</v>
      </c>
      <c r="F69" s="3">
        <v>38438.239999999998</v>
      </c>
      <c r="G69" s="2" t="s">
        <v>57</v>
      </c>
      <c r="H69" s="4">
        <v>43962</v>
      </c>
      <c r="I69" s="2">
        <v>1</v>
      </c>
      <c r="J69" s="2" t="s">
        <v>19</v>
      </c>
      <c r="K69" s="2" t="s">
        <v>72</v>
      </c>
      <c r="L69" s="1">
        <v>4.1150684931506847</v>
      </c>
      <c r="M69" s="2" t="s">
        <v>27</v>
      </c>
    </row>
    <row r="70" spans="1:13" x14ac:dyDescent="0.3">
      <c r="A70" s="2" t="s">
        <v>231</v>
      </c>
      <c r="B70" s="2" t="s">
        <v>234</v>
      </c>
      <c r="C70" s="2" t="s">
        <v>235</v>
      </c>
      <c r="D70" s="2" t="s">
        <v>16</v>
      </c>
      <c r="E70" s="2" t="s">
        <v>94</v>
      </c>
      <c r="F70" s="3">
        <v>38438.239999999998</v>
      </c>
      <c r="G70" s="2" t="s">
        <v>57</v>
      </c>
      <c r="H70" s="4">
        <v>43962</v>
      </c>
      <c r="I70" s="2">
        <v>1</v>
      </c>
      <c r="J70" s="2" t="s">
        <v>19</v>
      </c>
      <c r="K70" s="2" t="s">
        <v>72</v>
      </c>
      <c r="L70" s="1">
        <v>4.1150684931506847</v>
      </c>
      <c r="M70" s="2" t="s">
        <v>27</v>
      </c>
    </row>
    <row r="71" spans="1:13" x14ac:dyDescent="0.3">
      <c r="A71" s="2" t="s">
        <v>236</v>
      </c>
      <c r="B71" s="2" t="s">
        <v>237</v>
      </c>
      <c r="C71" s="2" t="s">
        <v>238</v>
      </c>
      <c r="D71" s="2" t="s">
        <v>16</v>
      </c>
      <c r="E71" s="2" t="s">
        <v>68</v>
      </c>
      <c r="F71" s="3">
        <v>44447.26</v>
      </c>
      <c r="G71" s="2" t="s">
        <v>57</v>
      </c>
      <c r="H71" s="4">
        <v>43846</v>
      </c>
      <c r="I71" s="2">
        <v>0.4</v>
      </c>
      <c r="J71" s="2" t="s">
        <v>19</v>
      </c>
      <c r="K71" s="2" t="s">
        <v>76</v>
      </c>
      <c r="L71" s="1">
        <v>4.4328767123287669</v>
      </c>
      <c r="M71" s="2" t="s">
        <v>21</v>
      </c>
    </row>
    <row r="72" spans="1:13" x14ac:dyDescent="0.3">
      <c r="A72" s="2" t="s">
        <v>239</v>
      </c>
      <c r="B72" s="2" t="s">
        <v>240</v>
      </c>
      <c r="C72" s="2" t="s">
        <v>241</v>
      </c>
      <c r="D72" s="2" t="s">
        <v>35</v>
      </c>
      <c r="E72" s="2" t="s">
        <v>94</v>
      </c>
      <c r="F72" s="3">
        <v>74924.649999999994</v>
      </c>
      <c r="G72" s="2" t="s">
        <v>18</v>
      </c>
      <c r="H72" s="4">
        <v>44239</v>
      </c>
      <c r="I72" s="2">
        <v>1</v>
      </c>
      <c r="J72" s="2" t="s">
        <v>19</v>
      </c>
      <c r="K72" s="2" t="s">
        <v>26</v>
      </c>
      <c r="L72" s="1">
        <v>3.3561643835616439</v>
      </c>
      <c r="M72" s="2" t="s">
        <v>27</v>
      </c>
    </row>
    <row r="73" spans="1:13" x14ac:dyDescent="0.3">
      <c r="A73" s="2" t="s">
        <v>242</v>
      </c>
      <c r="B73" s="2" t="s">
        <v>243</v>
      </c>
      <c r="C73" s="2" t="s">
        <v>244</v>
      </c>
      <c r="D73" s="2" t="s">
        <v>35</v>
      </c>
      <c r="E73" s="2" t="s">
        <v>64</v>
      </c>
      <c r="F73" s="3">
        <v>86556.96</v>
      </c>
      <c r="G73" s="2" t="s">
        <v>18</v>
      </c>
      <c r="H73" s="4">
        <v>44104</v>
      </c>
      <c r="I73" s="2">
        <v>1</v>
      </c>
      <c r="J73" s="2" t="s">
        <v>19</v>
      </c>
      <c r="K73" s="2" t="s">
        <v>26</v>
      </c>
      <c r="L73" s="1">
        <v>3.7260273972602738</v>
      </c>
      <c r="M73" s="2" t="s">
        <v>27</v>
      </c>
    </row>
    <row r="74" spans="1:13" x14ac:dyDescent="0.3">
      <c r="A74" s="2" t="s">
        <v>245</v>
      </c>
      <c r="B74" s="2" t="s">
        <v>246</v>
      </c>
      <c r="C74" s="2" t="s">
        <v>247</v>
      </c>
      <c r="D74" s="2" t="s">
        <v>16</v>
      </c>
      <c r="E74" s="2" t="s">
        <v>42</v>
      </c>
      <c r="F74" s="3">
        <v>68008.55</v>
      </c>
      <c r="G74" s="2" t="s">
        <v>18</v>
      </c>
      <c r="H74" s="4">
        <v>44062</v>
      </c>
      <c r="I74" s="2">
        <v>1</v>
      </c>
      <c r="J74" s="2" t="s">
        <v>19</v>
      </c>
      <c r="K74" s="2" t="s">
        <v>80</v>
      </c>
      <c r="L74" s="1">
        <v>3.8410958904109589</v>
      </c>
      <c r="M74" s="2" t="s">
        <v>27</v>
      </c>
    </row>
    <row r="75" spans="1:13" x14ac:dyDescent="0.3">
      <c r="A75" s="2" t="s">
        <v>248</v>
      </c>
      <c r="B75" s="2" t="s">
        <v>249</v>
      </c>
      <c r="C75" s="2" t="s">
        <v>250</v>
      </c>
      <c r="D75" s="2" t="s">
        <v>35</v>
      </c>
      <c r="E75" s="2" t="s">
        <v>49</v>
      </c>
      <c r="F75" s="3">
        <v>90697.67</v>
      </c>
      <c r="G75" s="2" t="s">
        <v>18</v>
      </c>
      <c r="H75" s="4">
        <v>44221</v>
      </c>
      <c r="I75" s="2">
        <v>0.8</v>
      </c>
      <c r="J75" s="2" t="s">
        <v>19</v>
      </c>
      <c r="K75" s="2" t="s">
        <v>76</v>
      </c>
      <c r="L75" s="1">
        <v>3.4054794520547946</v>
      </c>
      <c r="M75" s="2" t="s">
        <v>21</v>
      </c>
    </row>
    <row r="76" spans="1:13" x14ac:dyDescent="0.3">
      <c r="A76" s="2" t="s">
        <v>251</v>
      </c>
      <c r="B76" s="2" t="s">
        <v>252</v>
      </c>
      <c r="C76" s="2" t="s">
        <v>253</v>
      </c>
      <c r="D76" s="2" t="s">
        <v>16</v>
      </c>
      <c r="E76" s="2" t="s">
        <v>36</v>
      </c>
      <c r="F76" s="3">
        <v>44403.77</v>
      </c>
      <c r="G76" s="2" t="s">
        <v>57</v>
      </c>
      <c r="H76" s="4">
        <v>43416</v>
      </c>
      <c r="I76" s="2">
        <v>1</v>
      </c>
      <c r="J76" s="2" t="s">
        <v>19</v>
      </c>
      <c r="K76" s="2" t="s">
        <v>26</v>
      </c>
      <c r="L76" s="1">
        <v>5.6109589041095891</v>
      </c>
      <c r="M76" s="2" t="s">
        <v>27</v>
      </c>
    </row>
    <row r="77" spans="1:13" x14ac:dyDescent="0.3">
      <c r="A77" s="2" t="s">
        <v>254</v>
      </c>
      <c r="B77" s="2" t="s">
        <v>255</v>
      </c>
      <c r="C77" s="2" t="s">
        <v>256</v>
      </c>
      <c r="D77" s="2" t="s">
        <v>35</v>
      </c>
      <c r="E77" s="2" t="s">
        <v>53</v>
      </c>
      <c r="F77" s="3">
        <v>49915.14</v>
      </c>
      <c r="G77" s="2" t="s">
        <v>57</v>
      </c>
      <c r="H77" s="4">
        <v>43550</v>
      </c>
      <c r="I77" s="2">
        <v>1</v>
      </c>
      <c r="J77" s="2" t="s">
        <v>19</v>
      </c>
      <c r="K77" s="2" t="s">
        <v>38</v>
      </c>
      <c r="L77" s="1">
        <v>5.2438356164383562</v>
      </c>
      <c r="M77" s="2" t="s">
        <v>27</v>
      </c>
    </row>
    <row r="78" spans="1:13" x14ac:dyDescent="0.3">
      <c r="A78" s="2" t="s">
        <v>257</v>
      </c>
      <c r="B78" s="2" t="s">
        <v>258</v>
      </c>
      <c r="C78" s="2" t="s">
        <v>259</v>
      </c>
      <c r="D78" s="2" t="s">
        <v>35</v>
      </c>
      <c r="E78" s="2" t="s">
        <v>49</v>
      </c>
      <c r="F78" s="3">
        <v>113616.23</v>
      </c>
      <c r="G78" s="2" t="s">
        <v>37</v>
      </c>
      <c r="H78" s="4">
        <v>43255</v>
      </c>
      <c r="I78" s="2">
        <v>1</v>
      </c>
      <c r="J78" s="2" t="s">
        <v>19</v>
      </c>
      <c r="K78" s="2" t="s">
        <v>38</v>
      </c>
      <c r="L78" s="1">
        <v>6.0520547945205481</v>
      </c>
      <c r="M78" s="2" t="s">
        <v>27</v>
      </c>
    </row>
    <row r="79" spans="1:13" x14ac:dyDescent="0.3">
      <c r="A79" s="2" t="s">
        <v>260</v>
      </c>
      <c r="B79" s="2" t="s">
        <v>261</v>
      </c>
      <c r="C79" s="2" t="s">
        <v>262</v>
      </c>
      <c r="D79" s="2" t="s">
        <v>35</v>
      </c>
      <c r="E79" s="2" t="s">
        <v>126</v>
      </c>
      <c r="F79" s="3">
        <v>68860.399999999994</v>
      </c>
      <c r="G79" s="2" t="s">
        <v>18</v>
      </c>
      <c r="H79" s="4">
        <v>43508</v>
      </c>
      <c r="I79" s="2">
        <v>0.4</v>
      </c>
      <c r="J79" s="2" t="s">
        <v>19</v>
      </c>
      <c r="K79" s="2" t="s">
        <v>31</v>
      </c>
      <c r="L79" s="1">
        <v>5.3589041095890408</v>
      </c>
      <c r="M79" s="2" t="s">
        <v>21</v>
      </c>
    </row>
    <row r="80" spans="1:13" x14ac:dyDescent="0.3">
      <c r="A80" s="2" t="s">
        <v>263</v>
      </c>
      <c r="B80" s="2" t="s">
        <v>264</v>
      </c>
      <c r="C80" s="2" t="s">
        <v>265</v>
      </c>
      <c r="D80" s="2" t="s">
        <v>35</v>
      </c>
      <c r="E80" s="2" t="s">
        <v>25</v>
      </c>
      <c r="F80" s="3">
        <v>71371.37</v>
      </c>
      <c r="G80" s="2" t="s">
        <v>18</v>
      </c>
      <c r="H80" s="4">
        <v>43392</v>
      </c>
      <c r="I80" s="2">
        <v>1</v>
      </c>
      <c r="J80" s="2" t="s">
        <v>19</v>
      </c>
      <c r="K80" s="2" t="s">
        <v>26</v>
      </c>
      <c r="L80" s="1">
        <v>5.6767123287671231</v>
      </c>
      <c r="M80" s="2" t="s">
        <v>27</v>
      </c>
    </row>
    <row r="81" spans="1:13" x14ac:dyDescent="0.3">
      <c r="A81" s="2" t="s">
        <v>266</v>
      </c>
      <c r="B81" s="2" t="s">
        <v>267</v>
      </c>
      <c r="C81" s="2" t="s">
        <v>268</v>
      </c>
      <c r="D81" s="2" t="s">
        <v>16</v>
      </c>
      <c r="E81" s="2" t="s">
        <v>87</v>
      </c>
      <c r="F81" s="3">
        <v>32269.91</v>
      </c>
      <c r="G81" s="2" t="s">
        <v>57</v>
      </c>
      <c r="H81" s="4">
        <v>43346</v>
      </c>
      <c r="I81" s="2">
        <v>1</v>
      </c>
      <c r="J81" s="2" t="s">
        <v>19</v>
      </c>
      <c r="K81" s="2" t="s">
        <v>38</v>
      </c>
      <c r="L81" s="1">
        <v>5.8027397260273972</v>
      </c>
      <c r="M81" s="2" t="s">
        <v>27</v>
      </c>
    </row>
    <row r="82" spans="1:13" x14ac:dyDescent="0.3">
      <c r="A82" s="2" t="s">
        <v>269</v>
      </c>
      <c r="B82" s="2" t="s">
        <v>270</v>
      </c>
      <c r="C82" s="2" t="s">
        <v>271</v>
      </c>
      <c r="D82" s="2" t="s">
        <v>35</v>
      </c>
      <c r="E82" s="2" t="s">
        <v>94</v>
      </c>
      <c r="F82" s="3">
        <v>31241.24</v>
      </c>
      <c r="G82" s="2" t="s">
        <v>57</v>
      </c>
      <c r="H82" s="4">
        <v>43725</v>
      </c>
      <c r="I82" s="2">
        <v>1</v>
      </c>
      <c r="J82" s="2" t="s">
        <v>19</v>
      </c>
      <c r="K82" s="2" t="s">
        <v>38</v>
      </c>
      <c r="L82" s="1">
        <v>4.7643835616438359</v>
      </c>
      <c r="M82" s="2" t="s">
        <v>27</v>
      </c>
    </row>
    <row r="83" spans="1:13" x14ac:dyDescent="0.3">
      <c r="A83" s="2" t="s">
        <v>272</v>
      </c>
      <c r="B83" s="2" t="s">
        <v>273</v>
      </c>
      <c r="C83" s="2" t="s">
        <v>274</v>
      </c>
      <c r="D83" s="2" t="s">
        <v>16</v>
      </c>
      <c r="E83" s="2" t="s">
        <v>42</v>
      </c>
      <c r="F83" s="3">
        <v>66017.179999999993</v>
      </c>
      <c r="G83" s="2" t="s">
        <v>18</v>
      </c>
      <c r="H83" s="4">
        <v>43643</v>
      </c>
      <c r="I83" s="2">
        <v>0.9</v>
      </c>
      <c r="J83" s="2" t="s">
        <v>19</v>
      </c>
      <c r="K83" s="2" t="s">
        <v>38</v>
      </c>
      <c r="L83" s="1">
        <v>4.9890410958904106</v>
      </c>
      <c r="M83" s="2" t="s">
        <v>21</v>
      </c>
    </row>
    <row r="84" spans="1:13" x14ac:dyDescent="0.3">
      <c r="A84" s="2" t="s">
        <v>275</v>
      </c>
      <c r="B84" s="2" t="s">
        <v>276</v>
      </c>
      <c r="C84" s="2" t="s">
        <v>277</v>
      </c>
      <c r="D84" s="2" t="s">
        <v>35</v>
      </c>
      <c r="E84" s="2" t="s">
        <v>94</v>
      </c>
      <c r="F84" s="3">
        <v>40445.29</v>
      </c>
      <c r="G84" s="2" t="s">
        <v>57</v>
      </c>
      <c r="H84" s="4">
        <v>44393</v>
      </c>
      <c r="I84" s="2">
        <v>1</v>
      </c>
      <c r="J84" s="2" t="s">
        <v>19</v>
      </c>
      <c r="K84" s="2" t="s">
        <v>72</v>
      </c>
      <c r="L84" s="1">
        <v>2.9342465753424656</v>
      </c>
      <c r="M84" s="2" t="s">
        <v>27</v>
      </c>
    </row>
    <row r="85" spans="1:13" x14ac:dyDescent="0.3">
      <c r="A85" s="2" t="s">
        <v>275</v>
      </c>
      <c r="B85" s="2" t="s">
        <v>278</v>
      </c>
      <c r="C85" s="2" t="s">
        <v>279</v>
      </c>
      <c r="D85" s="2" t="s">
        <v>35</v>
      </c>
      <c r="E85" s="2" t="s">
        <v>94</v>
      </c>
      <c r="F85" s="3">
        <v>40445.29</v>
      </c>
      <c r="G85" s="2" t="s">
        <v>57</v>
      </c>
      <c r="H85" s="4">
        <v>44393</v>
      </c>
      <c r="I85" s="2">
        <v>1</v>
      </c>
      <c r="J85" s="2" t="s">
        <v>19</v>
      </c>
      <c r="K85" s="2" t="s">
        <v>72</v>
      </c>
      <c r="L85" s="1">
        <v>2.9342465753424656</v>
      </c>
      <c r="M85" s="2" t="s">
        <v>27</v>
      </c>
    </row>
    <row r="86" spans="1:13" x14ac:dyDescent="0.3">
      <c r="A86" s="2" t="s">
        <v>280</v>
      </c>
      <c r="B86" s="2" t="s">
        <v>281</v>
      </c>
      <c r="C86" s="2" t="s">
        <v>282</v>
      </c>
      <c r="D86" s="2" t="s">
        <v>35</v>
      </c>
      <c r="E86" s="2" t="s">
        <v>64</v>
      </c>
      <c r="F86" s="3">
        <v>103494.94</v>
      </c>
      <c r="G86" s="2" t="s">
        <v>37</v>
      </c>
      <c r="H86" s="4">
        <v>43256</v>
      </c>
      <c r="I86" s="2">
        <v>1</v>
      </c>
      <c r="J86" s="2" t="s">
        <v>19</v>
      </c>
      <c r="K86" s="2" t="s">
        <v>38</v>
      </c>
      <c r="L86" s="1">
        <v>6.0493150684931507</v>
      </c>
      <c r="M86" s="2" t="s">
        <v>27</v>
      </c>
    </row>
    <row r="87" spans="1:13" x14ac:dyDescent="0.3">
      <c r="A87" s="2" t="s">
        <v>280</v>
      </c>
      <c r="B87" s="2" t="s">
        <v>281</v>
      </c>
      <c r="C87" s="2" t="s">
        <v>282</v>
      </c>
      <c r="D87" s="2" t="s">
        <v>35</v>
      </c>
      <c r="E87" s="2" t="s">
        <v>64</v>
      </c>
      <c r="F87" s="3">
        <v>103494.94</v>
      </c>
      <c r="G87" s="2" t="s">
        <v>37</v>
      </c>
      <c r="H87" s="4">
        <v>43256</v>
      </c>
      <c r="I87" s="2">
        <v>1</v>
      </c>
      <c r="J87" s="2" t="s">
        <v>19</v>
      </c>
      <c r="K87" s="2" t="s">
        <v>38</v>
      </c>
      <c r="L87" s="1">
        <v>6.0493150684931507</v>
      </c>
      <c r="M87" s="2" t="s">
        <v>27</v>
      </c>
    </row>
    <row r="88" spans="1:13" x14ac:dyDescent="0.3">
      <c r="A88" s="2" t="s">
        <v>283</v>
      </c>
      <c r="B88" s="2" t="s">
        <v>284</v>
      </c>
      <c r="C88" s="2" t="s">
        <v>285</v>
      </c>
      <c r="D88" s="2" t="s">
        <v>16</v>
      </c>
      <c r="E88" s="2" t="s">
        <v>36</v>
      </c>
      <c r="F88" s="3">
        <v>118442.54</v>
      </c>
      <c r="G88" s="2" t="s">
        <v>37</v>
      </c>
      <c r="H88" s="4">
        <v>44193</v>
      </c>
      <c r="I88" s="2">
        <v>1</v>
      </c>
      <c r="J88" s="2" t="s">
        <v>19</v>
      </c>
      <c r="K88" s="2" t="s">
        <v>80</v>
      </c>
      <c r="L88" s="1">
        <v>3.4821917808219176</v>
      </c>
      <c r="M88" s="2" t="s">
        <v>27</v>
      </c>
    </row>
    <row r="89" spans="1:13" x14ac:dyDescent="0.3">
      <c r="A89" s="2" t="s">
        <v>286</v>
      </c>
      <c r="B89" s="2" t="s">
        <v>287</v>
      </c>
      <c r="C89" s="2" t="s">
        <v>288</v>
      </c>
      <c r="D89" s="2" t="s">
        <v>16</v>
      </c>
      <c r="E89" s="2" t="s">
        <v>53</v>
      </c>
      <c r="F89" s="3">
        <v>44845.33</v>
      </c>
      <c r="G89" s="2" t="s">
        <v>57</v>
      </c>
      <c r="H89" s="4">
        <v>43277</v>
      </c>
      <c r="I89" s="2">
        <v>1</v>
      </c>
      <c r="J89" s="2" t="s">
        <v>19</v>
      </c>
      <c r="K89" s="2" t="s">
        <v>76</v>
      </c>
      <c r="L89" s="1">
        <v>5.9917808219178079</v>
      </c>
      <c r="M89" s="2" t="s">
        <v>27</v>
      </c>
    </row>
    <row r="90" spans="1:13" x14ac:dyDescent="0.3">
      <c r="A90" s="2" t="s">
        <v>289</v>
      </c>
      <c r="B90" s="2" t="s">
        <v>290</v>
      </c>
      <c r="C90" s="2" t="s">
        <v>291</v>
      </c>
      <c r="D90" s="2" t="s">
        <v>35</v>
      </c>
      <c r="E90" s="2" t="s">
        <v>68</v>
      </c>
      <c r="F90" s="3">
        <v>85455.53</v>
      </c>
      <c r="G90" s="2" t="s">
        <v>18</v>
      </c>
      <c r="H90" s="4">
        <v>43839</v>
      </c>
      <c r="I90" s="2">
        <v>1</v>
      </c>
      <c r="J90" s="2" t="s">
        <v>19</v>
      </c>
      <c r="K90" s="2" t="s">
        <v>20</v>
      </c>
      <c r="L90" s="1">
        <v>4.4520547945205475</v>
      </c>
      <c r="M90" s="2" t="s">
        <v>27</v>
      </c>
    </row>
    <row r="91" spans="1:13" x14ac:dyDescent="0.3">
      <c r="A91" s="2" t="s">
        <v>292</v>
      </c>
      <c r="B91" s="2" t="s">
        <v>293</v>
      </c>
      <c r="C91" s="2" t="s">
        <v>294</v>
      </c>
      <c r="D91" s="2" t="s">
        <v>35</v>
      </c>
      <c r="E91" s="2" t="s">
        <v>64</v>
      </c>
      <c r="F91" s="3">
        <v>69862.38</v>
      </c>
      <c r="G91" s="2" t="s">
        <v>18</v>
      </c>
      <c r="H91" s="4">
        <v>43458</v>
      </c>
      <c r="I91" s="2">
        <v>1</v>
      </c>
      <c r="J91" s="2" t="s">
        <v>19</v>
      </c>
      <c r="K91" s="2" t="s">
        <v>20</v>
      </c>
      <c r="L91" s="1">
        <v>5.4958904109589044</v>
      </c>
      <c r="M91" s="2" t="s">
        <v>27</v>
      </c>
    </row>
    <row r="92" spans="1:13" x14ac:dyDescent="0.3">
      <c r="A92" s="2" t="s">
        <v>295</v>
      </c>
      <c r="B92" s="2" t="s">
        <v>296</v>
      </c>
      <c r="C92" s="2" t="s">
        <v>297</v>
      </c>
      <c r="D92" s="2" t="s">
        <v>35</v>
      </c>
      <c r="E92" s="2" t="s">
        <v>53</v>
      </c>
      <c r="F92" s="3">
        <v>52270.22</v>
      </c>
      <c r="G92" s="2" t="s">
        <v>18</v>
      </c>
      <c r="H92" s="4">
        <v>43521</v>
      </c>
      <c r="I92" s="2">
        <v>0.3</v>
      </c>
      <c r="J92" s="2" t="s">
        <v>19</v>
      </c>
      <c r="K92" s="2" t="s">
        <v>72</v>
      </c>
      <c r="L92" s="1">
        <v>5.3232876712328769</v>
      </c>
      <c r="M92" s="2" t="s">
        <v>21</v>
      </c>
    </row>
    <row r="93" spans="1:13" x14ac:dyDescent="0.3">
      <c r="A93" s="2" t="s">
        <v>298</v>
      </c>
      <c r="B93" s="2" t="s">
        <v>299</v>
      </c>
      <c r="C93" s="2" t="s">
        <v>300</v>
      </c>
      <c r="D93" s="2" t="s">
        <v>16</v>
      </c>
      <c r="E93" s="2" t="s">
        <v>17</v>
      </c>
      <c r="F93" s="3">
        <v>99965.97</v>
      </c>
      <c r="G93" s="2" t="s">
        <v>18</v>
      </c>
      <c r="H93" s="4">
        <v>43133</v>
      </c>
      <c r="I93" s="2">
        <v>1</v>
      </c>
      <c r="J93" s="2" t="s">
        <v>19</v>
      </c>
      <c r="K93" s="2" t="s">
        <v>38</v>
      </c>
      <c r="L93" s="1">
        <v>6.3863013698630136</v>
      </c>
      <c r="M93" s="2" t="s">
        <v>27</v>
      </c>
    </row>
    <row r="94" spans="1:13" x14ac:dyDescent="0.3">
      <c r="A94" s="2" t="s">
        <v>301</v>
      </c>
      <c r="B94" s="2" t="s">
        <v>302</v>
      </c>
      <c r="C94" s="2" t="s">
        <v>303</v>
      </c>
      <c r="D94" s="2" t="s">
        <v>35</v>
      </c>
      <c r="E94" s="2" t="s">
        <v>36</v>
      </c>
      <c r="F94" s="3">
        <v>50855.53</v>
      </c>
      <c r="G94" s="2" t="s">
        <v>18</v>
      </c>
      <c r="H94" s="4">
        <v>44221</v>
      </c>
      <c r="I94" s="2">
        <v>1</v>
      </c>
      <c r="J94" s="2" t="s">
        <v>19</v>
      </c>
      <c r="K94" s="2" t="s">
        <v>20</v>
      </c>
      <c r="L94" s="1">
        <v>3.4054794520547946</v>
      </c>
      <c r="M94" s="2" t="s">
        <v>27</v>
      </c>
    </row>
    <row r="95" spans="1:13" x14ac:dyDescent="0.3">
      <c r="A95" s="2" t="s">
        <v>304</v>
      </c>
      <c r="B95" s="2" t="s">
        <v>305</v>
      </c>
      <c r="C95" s="2" t="s">
        <v>306</v>
      </c>
      <c r="D95" s="2" t="s">
        <v>35</v>
      </c>
      <c r="E95" s="2" t="s">
        <v>25</v>
      </c>
      <c r="F95" s="3">
        <v>90884.32</v>
      </c>
      <c r="G95" s="2" t="s">
        <v>18</v>
      </c>
      <c r="H95" s="4">
        <v>43826</v>
      </c>
      <c r="I95" s="2">
        <v>1</v>
      </c>
      <c r="J95" s="2" t="s">
        <v>19</v>
      </c>
      <c r="K95" s="2" t="s">
        <v>31</v>
      </c>
      <c r="L95" s="1">
        <v>4.4876712328767123</v>
      </c>
      <c r="M95" s="2" t="s">
        <v>27</v>
      </c>
    </row>
    <row r="96" spans="1:13" x14ac:dyDescent="0.3">
      <c r="A96" s="2" t="s">
        <v>304</v>
      </c>
      <c r="B96" s="2" t="s">
        <v>305</v>
      </c>
      <c r="C96" s="2" t="s">
        <v>306</v>
      </c>
      <c r="D96" s="2" t="s">
        <v>35</v>
      </c>
      <c r="E96" s="2" t="s">
        <v>25</v>
      </c>
      <c r="F96" s="3">
        <v>90884.32</v>
      </c>
      <c r="G96" s="2" t="s">
        <v>18</v>
      </c>
      <c r="H96" s="4">
        <v>43826</v>
      </c>
      <c r="I96" s="2">
        <v>1</v>
      </c>
      <c r="J96" s="2" t="s">
        <v>19</v>
      </c>
      <c r="K96" s="2" t="s">
        <v>31</v>
      </c>
      <c r="L96" s="1">
        <v>4.4876712328767123</v>
      </c>
      <c r="M96" s="2" t="s">
        <v>27</v>
      </c>
    </row>
    <row r="97" spans="1:13" x14ac:dyDescent="0.3">
      <c r="A97" s="2" t="s">
        <v>307</v>
      </c>
      <c r="B97" s="2" t="s">
        <v>308</v>
      </c>
      <c r="C97" s="2" t="s">
        <v>309</v>
      </c>
      <c r="D97" s="2" t="s">
        <v>16</v>
      </c>
      <c r="E97" s="2" t="s">
        <v>17</v>
      </c>
      <c r="F97" s="3">
        <v>56253.81</v>
      </c>
      <c r="G97" s="2" t="s">
        <v>18</v>
      </c>
      <c r="H97" s="4">
        <v>44421</v>
      </c>
      <c r="I97" s="2">
        <v>1</v>
      </c>
      <c r="J97" s="2" t="s">
        <v>19</v>
      </c>
      <c r="K97" s="2" t="s">
        <v>80</v>
      </c>
      <c r="L97" s="1">
        <v>2.8575342465753426</v>
      </c>
      <c r="M97" s="2" t="s">
        <v>27</v>
      </c>
    </row>
    <row r="98" spans="1:13" x14ac:dyDescent="0.3">
      <c r="A98" s="2" t="s">
        <v>310</v>
      </c>
      <c r="B98" s="2" t="s">
        <v>311</v>
      </c>
      <c r="C98" s="2" t="s">
        <v>312</v>
      </c>
      <c r="D98" s="2" t="s">
        <v>16</v>
      </c>
      <c r="E98" s="2" t="s">
        <v>94</v>
      </c>
      <c r="F98" s="3">
        <v>51798.25</v>
      </c>
      <c r="G98" s="2" t="s">
        <v>18</v>
      </c>
      <c r="H98" s="4">
        <v>43665</v>
      </c>
      <c r="I98" s="2">
        <v>1</v>
      </c>
      <c r="J98" s="2" t="s">
        <v>19</v>
      </c>
      <c r="K98" s="2" t="s">
        <v>26</v>
      </c>
      <c r="L98" s="1">
        <v>4.9287671232876713</v>
      </c>
      <c r="M98" s="2" t="s">
        <v>27</v>
      </c>
    </row>
    <row r="99" spans="1:13" x14ac:dyDescent="0.3">
      <c r="A99" s="2" t="s">
        <v>313</v>
      </c>
      <c r="B99" s="2" t="s">
        <v>314</v>
      </c>
      <c r="C99" s="2" t="s">
        <v>315</v>
      </c>
      <c r="D99" s="2" t="s">
        <v>16</v>
      </c>
      <c r="E99" s="2" t="s">
        <v>36</v>
      </c>
      <c r="F99" s="3">
        <v>114772.32</v>
      </c>
      <c r="G99" s="2" t="s">
        <v>37</v>
      </c>
      <c r="H99" s="4">
        <v>44251</v>
      </c>
      <c r="I99" s="2">
        <v>1</v>
      </c>
      <c r="J99" s="2" t="s">
        <v>19</v>
      </c>
      <c r="K99" s="2" t="s">
        <v>31</v>
      </c>
      <c r="L99" s="1">
        <v>3.3232876712328765</v>
      </c>
      <c r="M99" s="2" t="s">
        <v>27</v>
      </c>
    </row>
    <row r="100" spans="1:13" x14ac:dyDescent="0.3">
      <c r="A100" s="2" t="s">
        <v>316</v>
      </c>
      <c r="B100" s="2" t="s">
        <v>317</v>
      </c>
      <c r="C100" s="2" t="s">
        <v>318</v>
      </c>
      <c r="D100" s="2" t="s">
        <v>35</v>
      </c>
      <c r="E100" s="2" t="s">
        <v>42</v>
      </c>
      <c r="F100" s="3">
        <v>89605.13</v>
      </c>
      <c r="G100" s="2" t="s">
        <v>18</v>
      </c>
      <c r="H100" s="4">
        <v>43258</v>
      </c>
      <c r="I100" s="2">
        <v>1</v>
      </c>
      <c r="J100" s="2" t="s">
        <v>19</v>
      </c>
      <c r="K100" s="2" t="s">
        <v>76</v>
      </c>
      <c r="L100" s="1">
        <v>6.043835616438356</v>
      </c>
      <c r="M100" s="2" t="s">
        <v>27</v>
      </c>
    </row>
    <row r="101" spans="1:13" x14ac:dyDescent="0.3">
      <c r="A101" s="2" t="s">
        <v>319</v>
      </c>
      <c r="B101" s="2" t="s">
        <v>320</v>
      </c>
      <c r="C101" s="2" t="s">
        <v>321</v>
      </c>
      <c r="D101" s="2" t="s">
        <v>16</v>
      </c>
      <c r="E101" s="2" t="s">
        <v>36</v>
      </c>
      <c r="F101" s="3">
        <v>88425.08</v>
      </c>
      <c r="G101" s="2" t="s">
        <v>18</v>
      </c>
      <c r="H101" s="4">
        <v>43662</v>
      </c>
      <c r="I101" s="2">
        <v>1</v>
      </c>
      <c r="J101" s="2" t="s">
        <v>19</v>
      </c>
      <c r="K101" s="2" t="s">
        <v>26</v>
      </c>
      <c r="L101" s="1">
        <v>4.9369863013698634</v>
      </c>
      <c r="M101" s="2" t="s">
        <v>27</v>
      </c>
    </row>
    <row r="102" spans="1:13" x14ac:dyDescent="0.3">
      <c r="A102" s="2" t="s">
        <v>322</v>
      </c>
      <c r="B102" s="2" t="s">
        <v>323</v>
      </c>
      <c r="C102" s="2" t="s">
        <v>324</v>
      </c>
      <c r="D102" s="2" t="s">
        <v>16</v>
      </c>
      <c r="E102" s="2" t="s">
        <v>42</v>
      </c>
      <c r="F102" s="3">
        <v>104903.79</v>
      </c>
      <c r="G102" s="2" t="s">
        <v>37</v>
      </c>
      <c r="H102" s="4">
        <v>43649</v>
      </c>
      <c r="I102" s="2">
        <v>1</v>
      </c>
      <c r="J102" s="2" t="s">
        <v>19</v>
      </c>
      <c r="K102" s="2" t="s">
        <v>72</v>
      </c>
      <c r="L102" s="1">
        <v>4.9726027397260273</v>
      </c>
      <c r="M102" s="2" t="s">
        <v>27</v>
      </c>
    </row>
    <row r="103" spans="1:13" x14ac:dyDescent="0.3">
      <c r="A103" s="2" t="s">
        <v>325</v>
      </c>
      <c r="B103" s="2" t="s">
        <v>326</v>
      </c>
      <c r="C103" s="2" t="s">
        <v>327</v>
      </c>
      <c r="D103" s="2" t="s">
        <v>16</v>
      </c>
      <c r="E103" s="2" t="s">
        <v>87</v>
      </c>
      <c r="F103" s="3">
        <v>69057.320000000007</v>
      </c>
      <c r="G103" s="2" t="s">
        <v>18</v>
      </c>
      <c r="H103" s="4">
        <v>43390</v>
      </c>
      <c r="I103" s="2">
        <v>1</v>
      </c>
      <c r="J103" s="2" t="s">
        <v>19</v>
      </c>
      <c r="K103" s="2" t="s">
        <v>20</v>
      </c>
      <c r="L103" s="1">
        <v>5.6821917808219178</v>
      </c>
      <c r="M103" s="2" t="s">
        <v>27</v>
      </c>
    </row>
    <row r="104" spans="1:13" x14ac:dyDescent="0.3">
      <c r="A104" s="2" t="s">
        <v>325</v>
      </c>
      <c r="B104" s="2" t="s">
        <v>326</v>
      </c>
      <c r="C104" s="2" t="s">
        <v>327</v>
      </c>
      <c r="D104" s="2" t="s">
        <v>16</v>
      </c>
      <c r="E104" s="2" t="s">
        <v>87</v>
      </c>
      <c r="F104" s="3">
        <v>69057.320000000007</v>
      </c>
      <c r="G104" s="2" t="s">
        <v>18</v>
      </c>
      <c r="H104" s="4">
        <v>43390</v>
      </c>
      <c r="I104" s="2">
        <v>1</v>
      </c>
      <c r="J104" s="2" t="s">
        <v>19</v>
      </c>
      <c r="K104" s="2" t="s">
        <v>20</v>
      </c>
      <c r="L104" s="1">
        <v>5.6821917808219178</v>
      </c>
      <c r="M104" s="2" t="s">
        <v>27</v>
      </c>
    </row>
    <row r="105" spans="1:13" x14ac:dyDescent="0.3">
      <c r="A105" s="2" t="s">
        <v>328</v>
      </c>
      <c r="B105" s="2" t="s">
        <v>329</v>
      </c>
      <c r="C105" s="2" t="s">
        <v>330</v>
      </c>
      <c r="D105" s="2" t="s">
        <v>35</v>
      </c>
      <c r="E105" s="2" t="s">
        <v>94</v>
      </c>
      <c r="F105" s="3">
        <v>77743.149999999994</v>
      </c>
      <c r="G105" s="2" t="s">
        <v>18</v>
      </c>
      <c r="H105" s="4">
        <v>43920</v>
      </c>
      <c r="I105" s="2">
        <v>1</v>
      </c>
      <c r="J105" s="2" t="s">
        <v>19</v>
      </c>
      <c r="K105" s="2" t="s">
        <v>72</v>
      </c>
      <c r="L105" s="1">
        <v>4.2301369863013702</v>
      </c>
      <c r="M105" s="2" t="s">
        <v>27</v>
      </c>
    </row>
    <row r="106" spans="1:13" x14ac:dyDescent="0.3">
      <c r="A106" s="2" t="s">
        <v>331</v>
      </c>
      <c r="B106" s="2" t="s">
        <v>332</v>
      </c>
      <c r="C106" s="2" t="s">
        <v>333</v>
      </c>
      <c r="D106" s="2" t="s">
        <v>35</v>
      </c>
      <c r="E106" s="2" t="s">
        <v>36</v>
      </c>
      <c r="F106" s="3">
        <v>108872.77</v>
      </c>
      <c r="G106" s="2" t="s">
        <v>37</v>
      </c>
      <c r="H106" s="4">
        <v>43521</v>
      </c>
      <c r="I106" s="2">
        <v>1</v>
      </c>
      <c r="J106" s="2" t="s">
        <v>19</v>
      </c>
      <c r="K106" s="2" t="s">
        <v>38</v>
      </c>
      <c r="L106" s="1">
        <v>5.3232876712328769</v>
      </c>
      <c r="M106" s="2" t="s">
        <v>27</v>
      </c>
    </row>
    <row r="107" spans="1:13" x14ac:dyDescent="0.3">
      <c r="A107" s="2" t="s">
        <v>334</v>
      </c>
      <c r="B107" s="2" t="s">
        <v>335</v>
      </c>
      <c r="C107" s="2" t="s">
        <v>336</v>
      </c>
      <c r="D107" s="2" t="s">
        <v>16</v>
      </c>
      <c r="E107" s="2" t="s">
        <v>53</v>
      </c>
      <c r="F107" s="3">
        <v>68887.839999999997</v>
      </c>
      <c r="G107" s="2" t="s">
        <v>18</v>
      </c>
      <c r="H107" s="4">
        <v>43297</v>
      </c>
      <c r="I107" s="2">
        <v>1</v>
      </c>
      <c r="J107" s="2" t="s">
        <v>19</v>
      </c>
      <c r="K107" s="2" t="s">
        <v>38</v>
      </c>
      <c r="L107" s="1">
        <v>5.9369863013698634</v>
      </c>
      <c r="M107" s="2" t="s">
        <v>27</v>
      </c>
    </row>
    <row r="108" spans="1:13" x14ac:dyDescent="0.3">
      <c r="A108" s="2" t="s">
        <v>337</v>
      </c>
      <c r="B108" s="2" t="s">
        <v>338</v>
      </c>
      <c r="C108" s="2" t="s">
        <v>339</v>
      </c>
      <c r="D108" s="2" t="s">
        <v>16</v>
      </c>
      <c r="E108" s="2" t="s">
        <v>94</v>
      </c>
      <c r="F108" s="3">
        <v>66865.490000000005</v>
      </c>
      <c r="G108" s="2" t="s">
        <v>18</v>
      </c>
      <c r="H108" s="4">
        <v>43514</v>
      </c>
      <c r="I108" s="2">
        <v>1</v>
      </c>
      <c r="J108" s="2" t="s">
        <v>19</v>
      </c>
      <c r="K108" s="2" t="s">
        <v>76</v>
      </c>
      <c r="L108" s="1">
        <v>5.3424657534246576</v>
      </c>
      <c r="M108" s="2" t="s">
        <v>27</v>
      </c>
    </row>
    <row r="109" spans="1:13" x14ac:dyDescent="0.3">
      <c r="A109" s="2" t="s">
        <v>337</v>
      </c>
      <c r="B109" s="2" t="s">
        <v>338</v>
      </c>
      <c r="C109" s="2" t="s">
        <v>339</v>
      </c>
      <c r="D109" s="2" t="s">
        <v>16</v>
      </c>
      <c r="E109" s="2" t="s">
        <v>94</v>
      </c>
      <c r="F109" s="3">
        <v>66865.490000000005</v>
      </c>
      <c r="G109" s="2" t="s">
        <v>18</v>
      </c>
      <c r="H109" s="4">
        <v>43514</v>
      </c>
      <c r="I109" s="2">
        <v>1</v>
      </c>
      <c r="J109" s="2" t="s">
        <v>19</v>
      </c>
      <c r="K109" s="2" t="s">
        <v>76</v>
      </c>
      <c r="L109" s="1">
        <v>5.3424657534246576</v>
      </c>
      <c r="M109" s="2" t="s">
        <v>27</v>
      </c>
    </row>
    <row r="110" spans="1:13" x14ac:dyDescent="0.3">
      <c r="A110" s="2" t="s">
        <v>340</v>
      </c>
      <c r="B110" s="2" t="s">
        <v>341</v>
      </c>
      <c r="C110" s="2" t="s">
        <v>342</v>
      </c>
      <c r="D110" s="2" t="s">
        <v>16</v>
      </c>
      <c r="E110" s="2" t="s">
        <v>64</v>
      </c>
      <c r="F110" s="3">
        <v>100731.95</v>
      </c>
      <c r="G110" s="2" t="s">
        <v>37</v>
      </c>
      <c r="H110" s="4">
        <v>43936</v>
      </c>
      <c r="I110" s="2">
        <v>1</v>
      </c>
      <c r="J110" s="2" t="s">
        <v>19</v>
      </c>
      <c r="K110" s="2" t="s">
        <v>80</v>
      </c>
      <c r="L110" s="1">
        <v>4.1863013698630134</v>
      </c>
      <c r="M110" s="2" t="s">
        <v>27</v>
      </c>
    </row>
    <row r="111" spans="1:13" x14ac:dyDescent="0.3">
      <c r="A111" s="2" t="s">
        <v>343</v>
      </c>
      <c r="B111" s="2" t="s">
        <v>344</v>
      </c>
      <c r="C111" s="2" t="s">
        <v>345</v>
      </c>
      <c r="D111" s="2" t="s">
        <v>190</v>
      </c>
      <c r="E111" s="2" t="s">
        <v>53</v>
      </c>
      <c r="F111" s="3">
        <v>107107.6</v>
      </c>
      <c r="G111" s="2" t="s">
        <v>37</v>
      </c>
      <c r="H111" s="4">
        <v>43325</v>
      </c>
      <c r="I111" s="2">
        <v>0.9</v>
      </c>
      <c r="J111" s="2" t="s">
        <v>19</v>
      </c>
      <c r="K111" s="2" t="s">
        <v>72</v>
      </c>
      <c r="L111" s="1">
        <v>5.86027397260274</v>
      </c>
      <c r="M111" s="2" t="s">
        <v>21</v>
      </c>
    </row>
    <row r="112" spans="1:13" x14ac:dyDescent="0.3">
      <c r="A112" s="2" t="s">
        <v>346</v>
      </c>
      <c r="B112" s="2" t="s">
        <v>347</v>
      </c>
      <c r="C112" s="2" t="s">
        <v>348</v>
      </c>
      <c r="D112" s="2" t="s">
        <v>16</v>
      </c>
      <c r="E112" s="2" t="s">
        <v>126</v>
      </c>
      <c r="F112" s="3">
        <v>102129.37</v>
      </c>
      <c r="G112" s="2" t="s">
        <v>37</v>
      </c>
      <c r="H112" s="4">
        <v>44396</v>
      </c>
      <c r="I112" s="2">
        <v>1</v>
      </c>
      <c r="J112" s="2" t="s">
        <v>19</v>
      </c>
      <c r="K112" s="2" t="s">
        <v>31</v>
      </c>
      <c r="L112" s="1">
        <v>2.9260273972602739</v>
      </c>
      <c r="M112" s="2" t="s">
        <v>27</v>
      </c>
    </row>
    <row r="113" spans="1:13" x14ac:dyDescent="0.3">
      <c r="A113" s="2" t="s">
        <v>349</v>
      </c>
      <c r="B113" s="2" t="s">
        <v>350</v>
      </c>
      <c r="C113" s="2" t="s">
        <v>351</v>
      </c>
      <c r="D113" s="2" t="s">
        <v>16</v>
      </c>
      <c r="E113" s="2" t="s">
        <v>49</v>
      </c>
      <c r="F113" s="3">
        <v>75733.740000000005</v>
      </c>
      <c r="G113" s="2" t="s">
        <v>18</v>
      </c>
      <c r="H113" s="4">
        <v>44382</v>
      </c>
      <c r="I113" s="2">
        <v>1</v>
      </c>
      <c r="J113" s="2" t="s">
        <v>19</v>
      </c>
      <c r="K113" s="2" t="s">
        <v>26</v>
      </c>
      <c r="L113" s="1">
        <v>2.9643835616438357</v>
      </c>
      <c r="M113" s="2" t="s">
        <v>27</v>
      </c>
    </row>
    <row r="114" spans="1:13" x14ac:dyDescent="0.3">
      <c r="A114" s="2" t="s">
        <v>352</v>
      </c>
      <c r="B114" s="2" t="s">
        <v>353</v>
      </c>
      <c r="C114" s="2" t="s">
        <v>354</v>
      </c>
      <c r="D114" s="2" t="s">
        <v>16</v>
      </c>
      <c r="E114" s="2" t="s">
        <v>126</v>
      </c>
      <c r="F114" s="3">
        <v>78020.39</v>
      </c>
      <c r="G114" s="2" t="s">
        <v>18</v>
      </c>
      <c r="H114" s="4">
        <v>43899</v>
      </c>
      <c r="I114" s="2">
        <v>1</v>
      </c>
      <c r="J114" s="2" t="s">
        <v>19</v>
      </c>
      <c r="K114" s="2" t="s">
        <v>38</v>
      </c>
      <c r="L114" s="1">
        <v>4.2876712328767121</v>
      </c>
      <c r="M114" s="2" t="s">
        <v>27</v>
      </c>
    </row>
    <row r="115" spans="1:13" x14ac:dyDescent="0.3">
      <c r="A115" s="2" t="s">
        <v>355</v>
      </c>
      <c r="B115" s="2" t="s">
        <v>356</v>
      </c>
      <c r="C115" s="2" t="s">
        <v>357</v>
      </c>
      <c r="D115" s="2" t="s">
        <v>16</v>
      </c>
      <c r="E115" s="2" t="s">
        <v>17</v>
      </c>
      <c r="F115" s="3">
        <v>95677.9</v>
      </c>
      <c r="G115" s="2" t="s">
        <v>18</v>
      </c>
      <c r="H115" s="4">
        <v>44396</v>
      </c>
      <c r="I115" s="2">
        <v>0.3</v>
      </c>
      <c r="J115" s="2" t="s">
        <v>19</v>
      </c>
      <c r="K115" s="2" t="s">
        <v>72</v>
      </c>
      <c r="L115" s="1">
        <v>2.9260273972602739</v>
      </c>
      <c r="M115" s="2" t="s">
        <v>21</v>
      </c>
    </row>
    <row r="116" spans="1:13" x14ac:dyDescent="0.3">
      <c r="A116" s="2" t="s">
        <v>358</v>
      </c>
      <c r="B116" s="2" t="s">
        <v>359</v>
      </c>
      <c r="C116" s="2" t="s">
        <v>360</v>
      </c>
      <c r="D116" s="2" t="s">
        <v>35</v>
      </c>
      <c r="E116" s="2" t="s">
        <v>36</v>
      </c>
      <c r="F116" s="3">
        <v>109143.17</v>
      </c>
      <c r="G116" s="2" t="s">
        <v>37</v>
      </c>
      <c r="H116" s="4">
        <v>43945</v>
      </c>
      <c r="I116" s="2">
        <v>1</v>
      </c>
      <c r="J116" s="2" t="s">
        <v>19</v>
      </c>
      <c r="K116" s="2" t="s">
        <v>20</v>
      </c>
      <c r="L116" s="1">
        <v>4.161643835616438</v>
      </c>
      <c r="M116" s="2" t="s">
        <v>27</v>
      </c>
    </row>
    <row r="117" spans="1:13" x14ac:dyDescent="0.3">
      <c r="A117" s="2" t="s">
        <v>361</v>
      </c>
      <c r="B117" s="2" t="s">
        <v>362</v>
      </c>
      <c r="C117" s="2" t="s">
        <v>363</v>
      </c>
      <c r="D117" s="2" t="s">
        <v>16</v>
      </c>
      <c r="E117" s="2" t="s">
        <v>87</v>
      </c>
      <c r="F117" s="3">
        <v>28305.08</v>
      </c>
      <c r="G117" s="2" t="s">
        <v>57</v>
      </c>
      <c r="H117" s="4">
        <v>43754</v>
      </c>
      <c r="I117" s="2">
        <v>1</v>
      </c>
      <c r="J117" s="2" t="s">
        <v>19</v>
      </c>
      <c r="K117" s="2" t="s">
        <v>38</v>
      </c>
      <c r="L117" s="1">
        <v>4.6849315068493151</v>
      </c>
      <c r="M117" s="2" t="s">
        <v>27</v>
      </c>
    </row>
    <row r="118" spans="1:13" x14ac:dyDescent="0.3">
      <c r="A118" s="2" t="s">
        <v>364</v>
      </c>
      <c r="B118" s="2" t="s">
        <v>365</v>
      </c>
      <c r="C118" s="2" t="s">
        <v>366</v>
      </c>
      <c r="D118" s="2" t="s">
        <v>35</v>
      </c>
      <c r="E118" s="2" t="s">
        <v>42</v>
      </c>
      <c r="F118" s="3">
        <v>76932.600000000006</v>
      </c>
      <c r="G118" s="2" t="s">
        <v>18</v>
      </c>
      <c r="H118" s="4">
        <v>43493</v>
      </c>
      <c r="I118" s="2">
        <v>1</v>
      </c>
      <c r="J118" s="2" t="s">
        <v>19</v>
      </c>
      <c r="K118" s="2" t="s">
        <v>26</v>
      </c>
      <c r="L118" s="1">
        <v>5.4</v>
      </c>
      <c r="M118" s="2" t="s">
        <v>27</v>
      </c>
    </row>
    <row r="119" spans="1:13" x14ac:dyDescent="0.3">
      <c r="A119" s="2" t="s">
        <v>367</v>
      </c>
      <c r="B119" s="2" t="s">
        <v>368</v>
      </c>
      <c r="C119" s="2" t="s">
        <v>369</v>
      </c>
      <c r="D119" s="2" t="s">
        <v>35</v>
      </c>
      <c r="E119" s="2" t="s">
        <v>87</v>
      </c>
      <c r="F119" s="3">
        <v>69913.39</v>
      </c>
      <c r="G119" s="2" t="s">
        <v>18</v>
      </c>
      <c r="H119" s="4">
        <v>43584</v>
      </c>
      <c r="I119" s="2">
        <v>1</v>
      </c>
      <c r="J119" s="2" t="s">
        <v>19</v>
      </c>
      <c r="K119" s="2" t="s">
        <v>38</v>
      </c>
      <c r="L119" s="1">
        <v>5.1506849315068495</v>
      </c>
      <c r="M119" s="2" t="s">
        <v>27</v>
      </c>
    </row>
    <row r="120" spans="1:13" x14ac:dyDescent="0.3">
      <c r="A120" s="2" t="s">
        <v>370</v>
      </c>
      <c r="B120" s="2" t="s">
        <v>371</v>
      </c>
      <c r="C120" s="2" t="s">
        <v>372</v>
      </c>
      <c r="D120" s="2" t="s">
        <v>35</v>
      </c>
      <c r="E120" s="2" t="s">
        <v>94</v>
      </c>
      <c r="F120" s="3">
        <v>111229.47</v>
      </c>
      <c r="G120" s="2" t="s">
        <v>37</v>
      </c>
      <c r="H120" s="4">
        <v>43402</v>
      </c>
      <c r="I120" s="2">
        <v>1</v>
      </c>
      <c r="J120" s="2" t="s">
        <v>19</v>
      </c>
      <c r="K120" s="2" t="s">
        <v>38</v>
      </c>
      <c r="L120" s="1">
        <v>5.6493150684931503</v>
      </c>
      <c r="M120" s="2" t="s">
        <v>27</v>
      </c>
    </row>
    <row r="121" spans="1:13" x14ac:dyDescent="0.3">
      <c r="A121" s="2" t="s">
        <v>373</v>
      </c>
      <c r="B121" s="2" t="s">
        <v>374</v>
      </c>
      <c r="C121" s="2" t="s">
        <v>375</v>
      </c>
      <c r="D121" s="2" t="s">
        <v>16</v>
      </c>
      <c r="E121" s="2" t="s">
        <v>87</v>
      </c>
      <c r="F121" s="3">
        <v>120000</v>
      </c>
      <c r="G121" s="2" t="s">
        <v>37</v>
      </c>
      <c r="H121" s="4">
        <v>43902</v>
      </c>
      <c r="I121" s="2">
        <v>0.9</v>
      </c>
      <c r="J121" s="2" t="s">
        <v>19</v>
      </c>
      <c r="K121" s="2" t="s">
        <v>38</v>
      </c>
      <c r="L121" s="1">
        <v>4.279452054794521</v>
      </c>
      <c r="M121" s="2" t="s">
        <v>21</v>
      </c>
    </row>
    <row r="122" spans="1:13" x14ac:dyDescent="0.3">
      <c r="A122" s="2" t="s">
        <v>376</v>
      </c>
      <c r="B122" s="2" t="s">
        <v>377</v>
      </c>
      <c r="C122" s="2" t="s">
        <v>378</v>
      </c>
      <c r="D122" s="2" t="s">
        <v>16</v>
      </c>
      <c r="E122" s="2" t="s">
        <v>64</v>
      </c>
      <c r="F122" s="3">
        <v>85264.38</v>
      </c>
      <c r="G122" s="2" t="s">
        <v>18</v>
      </c>
      <c r="H122" s="4">
        <v>43220</v>
      </c>
      <c r="I122" s="2">
        <v>1</v>
      </c>
      <c r="J122" s="2" t="s">
        <v>19</v>
      </c>
      <c r="K122" s="2" t="s">
        <v>72</v>
      </c>
      <c r="L122" s="1">
        <v>6.1479452054794521</v>
      </c>
      <c r="M122" s="2" t="s">
        <v>27</v>
      </c>
    </row>
    <row r="123" spans="1:13" x14ac:dyDescent="0.3">
      <c r="A123" s="2" t="s">
        <v>379</v>
      </c>
      <c r="B123" s="2" t="s">
        <v>380</v>
      </c>
      <c r="C123" s="2" t="s">
        <v>381</v>
      </c>
      <c r="D123" s="2" t="s">
        <v>35</v>
      </c>
      <c r="E123" s="2" t="s">
        <v>87</v>
      </c>
      <c r="F123" s="3">
        <v>100424.23</v>
      </c>
      <c r="G123" s="2" t="s">
        <v>37</v>
      </c>
      <c r="H123" s="4">
        <v>43801</v>
      </c>
      <c r="I123" s="2">
        <v>1</v>
      </c>
      <c r="J123" s="2" t="s">
        <v>19</v>
      </c>
      <c r="K123" s="2" t="s">
        <v>80</v>
      </c>
      <c r="L123" s="1">
        <v>4.5561643835616437</v>
      </c>
      <c r="M123" s="2" t="s">
        <v>27</v>
      </c>
    </row>
    <row r="124" spans="1:13" x14ac:dyDescent="0.3">
      <c r="A124" s="2" t="s">
        <v>382</v>
      </c>
      <c r="B124" s="2" t="s">
        <v>383</v>
      </c>
      <c r="C124" s="2" t="s">
        <v>384</v>
      </c>
      <c r="D124" s="2" t="s">
        <v>16</v>
      </c>
      <c r="E124" s="2" t="s">
        <v>116</v>
      </c>
      <c r="F124" s="3">
        <v>71924.850000000006</v>
      </c>
      <c r="G124" s="2" t="s">
        <v>18</v>
      </c>
      <c r="H124" s="4">
        <v>43822</v>
      </c>
      <c r="I124" s="2">
        <v>1</v>
      </c>
      <c r="J124" s="2" t="s">
        <v>19</v>
      </c>
      <c r="K124" s="2" t="s">
        <v>72</v>
      </c>
      <c r="L124" s="1">
        <v>4.4986301369863018</v>
      </c>
      <c r="M124" s="2" t="s">
        <v>27</v>
      </c>
    </row>
    <row r="125" spans="1:13" x14ac:dyDescent="0.3">
      <c r="A125" s="2" t="s">
        <v>385</v>
      </c>
      <c r="B125" s="2" t="s">
        <v>386</v>
      </c>
      <c r="C125" s="2" t="s">
        <v>387</v>
      </c>
      <c r="D125" s="2" t="s">
        <v>16</v>
      </c>
      <c r="E125" s="2" t="s">
        <v>25</v>
      </c>
      <c r="F125" s="3">
        <v>61688.77</v>
      </c>
      <c r="G125" s="2" t="s">
        <v>18</v>
      </c>
      <c r="H125" s="4">
        <v>43346</v>
      </c>
      <c r="I125" s="2">
        <v>0.9</v>
      </c>
      <c r="J125" s="2" t="s">
        <v>19</v>
      </c>
      <c r="K125" s="2" t="s">
        <v>72</v>
      </c>
      <c r="L125" s="1">
        <v>5.8027397260273972</v>
      </c>
      <c r="M125" s="2" t="s">
        <v>21</v>
      </c>
    </row>
    <row r="126" spans="1:13" x14ac:dyDescent="0.3">
      <c r="A126" s="2" t="s">
        <v>388</v>
      </c>
      <c r="B126" s="2" t="s">
        <v>389</v>
      </c>
      <c r="C126" s="2" t="s">
        <v>390</v>
      </c>
      <c r="D126" s="2" t="s">
        <v>16</v>
      </c>
      <c r="E126" s="2" t="s">
        <v>94</v>
      </c>
      <c r="F126" s="3">
        <v>75475.929999999993</v>
      </c>
      <c r="G126" s="2" t="s">
        <v>18</v>
      </c>
      <c r="H126" s="4">
        <v>43794</v>
      </c>
      <c r="I126" s="2">
        <v>1</v>
      </c>
      <c r="J126" s="2" t="s">
        <v>19</v>
      </c>
      <c r="K126" s="2" t="s">
        <v>38</v>
      </c>
      <c r="L126" s="1">
        <v>4.5753424657534243</v>
      </c>
      <c r="M126" s="2" t="s">
        <v>27</v>
      </c>
    </row>
    <row r="127" spans="1:13" x14ac:dyDescent="0.3">
      <c r="A127" s="2" t="s">
        <v>391</v>
      </c>
      <c r="B127" s="2" t="s">
        <v>392</v>
      </c>
      <c r="C127" s="2" t="s">
        <v>393</v>
      </c>
      <c r="D127" s="2" t="s">
        <v>16</v>
      </c>
      <c r="E127" s="2" t="s">
        <v>17</v>
      </c>
      <c r="F127" s="3">
        <v>37902.35</v>
      </c>
      <c r="G127" s="2" t="s">
        <v>57</v>
      </c>
      <c r="H127" s="4">
        <v>43823</v>
      </c>
      <c r="I127" s="2">
        <v>1</v>
      </c>
      <c r="J127" s="2" t="s">
        <v>19</v>
      </c>
      <c r="K127" s="2" t="s">
        <v>72</v>
      </c>
      <c r="L127" s="1">
        <v>4.4958904109589044</v>
      </c>
      <c r="M127" s="2" t="s">
        <v>27</v>
      </c>
    </row>
    <row r="128" spans="1:13" x14ac:dyDescent="0.3">
      <c r="A128" s="2" t="s">
        <v>391</v>
      </c>
      <c r="B128" s="2" t="s">
        <v>394</v>
      </c>
      <c r="C128" s="2" t="s">
        <v>395</v>
      </c>
      <c r="D128" s="2" t="s">
        <v>16</v>
      </c>
      <c r="E128" s="2" t="s">
        <v>17</v>
      </c>
      <c r="F128" s="3">
        <v>37902.35</v>
      </c>
      <c r="G128" s="2" t="s">
        <v>57</v>
      </c>
      <c r="H128" s="4">
        <v>43823</v>
      </c>
      <c r="I128" s="2">
        <v>1</v>
      </c>
      <c r="J128" s="2" t="s">
        <v>19</v>
      </c>
      <c r="K128" s="2" t="s">
        <v>72</v>
      </c>
      <c r="L128" s="1">
        <v>4.4958904109589044</v>
      </c>
      <c r="M128" s="2" t="s">
        <v>27</v>
      </c>
    </row>
    <row r="129" spans="1:13" x14ac:dyDescent="0.3">
      <c r="A129" s="2" t="s">
        <v>396</v>
      </c>
      <c r="B129" s="2" t="s">
        <v>397</v>
      </c>
      <c r="C129" s="2" t="s">
        <v>398</v>
      </c>
      <c r="D129" s="2" t="s">
        <v>16</v>
      </c>
      <c r="E129" s="2" t="s">
        <v>116</v>
      </c>
      <c r="F129" s="3">
        <v>63555.73</v>
      </c>
      <c r="G129" s="2" t="s">
        <v>18</v>
      </c>
      <c r="H129" s="4">
        <v>44159</v>
      </c>
      <c r="I129" s="2">
        <v>1</v>
      </c>
      <c r="J129" s="2" t="s">
        <v>19</v>
      </c>
      <c r="K129" s="2" t="s">
        <v>72</v>
      </c>
      <c r="L129" s="1">
        <v>3.5753424657534247</v>
      </c>
      <c r="M129" s="2" t="s">
        <v>27</v>
      </c>
    </row>
    <row r="130" spans="1:13" x14ac:dyDescent="0.3">
      <c r="A130" s="2" t="s">
        <v>399</v>
      </c>
      <c r="B130" s="2" t="s">
        <v>400</v>
      </c>
      <c r="C130" s="2" t="s">
        <v>401</v>
      </c>
      <c r="D130" s="2" t="s">
        <v>16</v>
      </c>
      <c r="E130" s="2" t="s">
        <v>94</v>
      </c>
      <c r="F130" s="3">
        <v>68197.899999999994</v>
      </c>
      <c r="G130" s="2" t="s">
        <v>18</v>
      </c>
      <c r="H130" s="4">
        <v>44119</v>
      </c>
      <c r="I130" s="2">
        <v>1</v>
      </c>
      <c r="J130" s="2" t="s">
        <v>19</v>
      </c>
      <c r="K130" s="2" t="s">
        <v>80</v>
      </c>
      <c r="L130" s="1">
        <v>3.6849315068493151</v>
      </c>
      <c r="M130" s="2" t="s">
        <v>27</v>
      </c>
    </row>
    <row r="131" spans="1:13" x14ac:dyDescent="0.3">
      <c r="A131" s="2" t="s">
        <v>402</v>
      </c>
      <c r="B131" s="2" t="s">
        <v>403</v>
      </c>
      <c r="C131" s="2" t="s">
        <v>404</v>
      </c>
      <c r="D131" s="2" t="s">
        <v>16</v>
      </c>
      <c r="E131" s="2" t="s">
        <v>36</v>
      </c>
      <c r="F131" s="3">
        <v>94815.28</v>
      </c>
      <c r="G131" s="2" t="s">
        <v>18</v>
      </c>
      <c r="H131" s="4">
        <v>43440</v>
      </c>
      <c r="I131" s="2">
        <v>1</v>
      </c>
      <c r="J131" s="2" t="s">
        <v>19</v>
      </c>
      <c r="K131" s="2" t="s">
        <v>76</v>
      </c>
      <c r="L131" s="1">
        <v>5.5452054794520551</v>
      </c>
      <c r="M131" s="2" t="s">
        <v>27</v>
      </c>
    </row>
    <row r="132" spans="1:13" x14ac:dyDescent="0.3">
      <c r="A132" s="2" t="s">
        <v>405</v>
      </c>
      <c r="B132" s="2" t="s">
        <v>406</v>
      </c>
      <c r="C132" s="2" t="s">
        <v>407</v>
      </c>
      <c r="D132" s="2" t="s">
        <v>35</v>
      </c>
      <c r="E132" s="2" t="s">
        <v>68</v>
      </c>
      <c r="F132" s="3">
        <v>52748.63</v>
      </c>
      <c r="G132" s="2" t="s">
        <v>18</v>
      </c>
      <c r="H132" s="4">
        <v>43857</v>
      </c>
      <c r="I132" s="2">
        <v>1</v>
      </c>
      <c r="J132" s="2" t="s">
        <v>19</v>
      </c>
      <c r="K132" s="2" t="s">
        <v>72</v>
      </c>
      <c r="L132" s="1">
        <v>4.4027397260273968</v>
      </c>
      <c r="M132" s="2" t="s">
        <v>27</v>
      </c>
    </row>
    <row r="133" spans="1:13" x14ac:dyDescent="0.3">
      <c r="A133" s="2" t="s">
        <v>408</v>
      </c>
      <c r="B133" s="2" t="s">
        <v>409</v>
      </c>
      <c r="C133" s="2" t="s">
        <v>410</v>
      </c>
      <c r="D133" s="2" t="s">
        <v>16</v>
      </c>
      <c r="E133" s="2" t="s">
        <v>87</v>
      </c>
      <c r="F133" s="3">
        <v>109163.39</v>
      </c>
      <c r="G133" s="2" t="s">
        <v>37</v>
      </c>
      <c r="H133" s="4">
        <v>44019</v>
      </c>
      <c r="I133" s="2">
        <v>0.8</v>
      </c>
      <c r="J133" s="2" t="s">
        <v>19</v>
      </c>
      <c r="K133" s="2" t="s">
        <v>76</v>
      </c>
      <c r="L133" s="1">
        <v>3.9589041095890409</v>
      </c>
      <c r="M133" s="2" t="s">
        <v>21</v>
      </c>
    </row>
    <row r="134" spans="1:13" x14ac:dyDescent="0.3">
      <c r="A134" s="2" t="s">
        <v>411</v>
      </c>
      <c r="B134" s="2" t="s">
        <v>412</v>
      </c>
      <c r="C134" s="2" t="s">
        <v>413</v>
      </c>
      <c r="D134" s="2" t="s">
        <v>16</v>
      </c>
      <c r="E134" s="2" t="s">
        <v>116</v>
      </c>
      <c r="F134" s="3">
        <v>88034.67</v>
      </c>
      <c r="G134" s="2" t="s">
        <v>18</v>
      </c>
      <c r="H134" s="4">
        <v>43669</v>
      </c>
      <c r="I134" s="2">
        <v>1</v>
      </c>
      <c r="J134" s="2" t="s">
        <v>19</v>
      </c>
      <c r="K134" s="2" t="s">
        <v>38</v>
      </c>
      <c r="L134" s="1">
        <v>4.9178082191780819</v>
      </c>
      <c r="M134" s="2" t="s">
        <v>27</v>
      </c>
    </row>
    <row r="135" spans="1:13" x14ac:dyDescent="0.3">
      <c r="A135" s="2" t="s">
        <v>414</v>
      </c>
      <c r="B135" s="2" t="s">
        <v>415</v>
      </c>
      <c r="C135" s="2" t="s">
        <v>416</v>
      </c>
      <c r="D135" s="2" t="s">
        <v>16</v>
      </c>
      <c r="E135" s="2" t="s">
        <v>87</v>
      </c>
      <c r="F135" s="3">
        <v>42161.77</v>
      </c>
      <c r="G135" s="2" t="s">
        <v>57</v>
      </c>
      <c r="H135" s="4">
        <v>43494</v>
      </c>
      <c r="I135" s="2">
        <v>1</v>
      </c>
      <c r="J135" s="2" t="s">
        <v>19</v>
      </c>
      <c r="K135" s="2" t="s">
        <v>80</v>
      </c>
      <c r="L135" s="1">
        <v>5.397260273972603</v>
      </c>
      <c r="M135" s="2" t="s">
        <v>27</v>
      </c>
    </row>
    <row r="136" spans="1:13" x14ac:dyDescent="0.3">
      <c r="A136" s="2" t="s">
        <v>417</v>
      </c>
      <c r="B136" s="2" t="s">
        <v>418</v>
      </c>
      <c r="C136" s="2" t="s">
        <v>419</v>
      </c>
      <c r="D136" s="2" t="s">
        <v>35</v>
      </c>
      <c r="E136" s="2" t="s">
        <v>116</v>
      </c>
      <c r="F136" s="3">
        <v>59258.19</v>
      </c>
      <c r="G136" s="2" t="s">
        <v>18</v>
      </c>
      <c r="H136" s="4">
        <v>43452</v>
      </c>
      <c r="I136" s="2">
        <v>0.8</v>
      </c>
      <c r="J136" s="2" t="s">
        <v>19</v>
      </c>
      <c r="K136" s="2" t="s">
        <v>76</v>
      </c>
      <c r="L136" s="1">
        <v>5.5123287671232877</v>
      </c>
      <c r="M136" s="2" t="s">
        <v>21</v>
      </c>
    </row>
    <row r="137" spans="1:13" x14ac:dyDescent="0.3">
      <c r="A137" s="2" t="s">
        <v>417</v>
      </c>
      <c r="B137" s="2" t="s">
        <v>418</v>
      </c>
      <c r="C137" s="2" t="s">
        <v>419</v>
      </c>
      <c r="D137" s="2" t="s">
        <v>35</v>
      </c>
      <c r="E137" s="2" t="s">
        <v>116</v>
      </c>
      <c r="F137" s="3">
        <v>59258.19</v>
      </c>
      <c r="G137" s="2" t="s">
        <v>18</v>
      </c>
      <c r="H137" s="4">
        <v>43452</v>
      </c>
      <c r="I137" s="2">
        <v>0.8</v>
      </c>
      <c r="J137" s="2" t="s">
        <v>19</v>
      </c>
      <c r="K137" s="2" t="s">
        <v>76</v>
      </c>
      <c r="L137" s="1">
        <v>5.5123287671232877</v>
      </c>
      <c r="M137" s="2" t="s">
        <v>21</v>
      </c>
    </row>
    <row r="138" spans="1:13" x14ac:dyDescent="0.3">
      <c r="A138" s="2" t="s">
        <v>420</v>
      </c>
      <c r="B138" s="2" t="s">
        <v>421</v>
      </c>
      <c r="C138" s="2" t="s">
        <v>422</v>
      </c>
      <c r="D138" s="2" t="s">
        <v>16</v>
      </c>
      <c r="E138" s="2" t="s">
        <v>17</v>
      </c>
      <c r="F138" s="3">
        <v>71570.990000000005</v>
      </c>
      <c r="G138" s="2" t="s">
        <v>18</v>
      </c>
      <c r="H138" s="4">
        <v>44249</v>
      </c>
      <c r="I138" s="2">
        <v>0.5</v>
      </c>
      <c r="J138" s="2" t="s">
        <v>19</v>
      </c>
      <c r="K138" s="2" t="s">
        <v>26</v>
      </c>
      <c r="L138" s="1">
        <v>3.3287671232876712</v>
      </c>
      <c r="M138" s="2" t="s">
        <v>21</v>
      </c>
    </row>
    <row r="139" spans="1:13" x14ac:dyDescent="0.3">
      <c r="A139" s="2" t="s">
        <v>423</v>
      </c>
      <c r="B139" s="2" t="s">
        <v>424</v>
      </c>
      <c r="C139" s="2" t="s">
        <v>425</v>
      </c>
      <c r="D139" s="2" t="s">
        <v>35</v>
      </c>
      <c r="E139" s="2" t="s">
        <v>53</v>
      </c>
      <c r="F139" s="3">
        <v>67633.850000000006</v>
      </c>
      <c r="G139" s="2" t="s">
        <v>18</v>
      </c>
      <c r="H139" s="4">
        <v>43340</v>
      </c>
      <c r="I139" s="2">
        <v>1</v>
      </c>
      <c r="J139" s="2" t="s">
        <v>19</v>
      </c>
      <c r="K139" s="2" t="s">
        <v>31</v>
      </c>
      <c r="L139" s="1">
        <v>5.8191780821917805</v>
      </c>
      <c r="M139" s="2" t="s">
        <v>27</v>
      </c>
    </row>
    <row r="140" spans="1:13" x14ac:dyDescent="0.3">
      <c r="A140" s="2" t="s">
        <v>426</v>
      </c>
      <c r="B140" s="2" t="s">
        <v>427</v>
      </c>
      <c r="C140" s="2" t="s">
        <v>428</v>
      </c>
      <c r="D140" s="2" t="s">
        <v>35</v>
      </c>
      <c r="E140" s="2" t="s">
        <v>49</v>
      </c>
      <c r="F140" s="3">
        <v>89838.77</v>
      </c>
      <c r="G140" s="2" t="s">
        <v>18</v>
      </c>
      <c r="H140" s="4">
        <v>43602</v>
      </c>
      <c r="I140" s="2">
        <v>1</v>
      </c>
      <c r="J140" s="2" t="s">
        <v>19</v>
      </c>
      <c r="K140" s="2" t="s">
        <v>38</v>
      </c>
      <c r="L140" s="1">
        <v>5.1013698630136988</v>
      </c>
      <c r="M140" s="2" t="s">
        <v>27</v>
      </c>
    </row>
    <row r="141" spans="1:13" x14ac:dyDescent="0.3">
      <c r="A141" s="2" t="s">
        <v>429</v>
      </c>
      <c r="B141" s="2" t="s">
        <v>430</v>
      </c>
      <c r="C141" s="2" t="s">
        <v>431</v>
      </c>
      <c r="D141" s="2" t="s">
        <v>35</v>
      </c>
      <c r="E141" s="2" t="s">
        <v>49</v>
      </c>
      <c r="F141" s="3">
        <v>28481.16</v>
      </c>
      <c r="G141" s="2" t="s">
        <v>57</v>
      </c>
      <c r="H141" s="4">
        <v>43916</v>
      </c>
      <c r="I141" s="2">
        <v>1</v>
      </c>
      <c r="J141" s="2" t="s">
        <v>19</v>
      </c>
      <c r="K141" s="2" t="s">
        <v>26</v>
      </c>
      <c r="L141" s="1">
        <v>4.2410958904109588</v>
      </c>
      <c r="M141" s="2" t="s">
        <v>27</v>
      </c>
    </row>
    <row r="142" spans="1:13" x14ac:dyDescent="0.3">
      <c r="A142" s="2" t="s">
        <v>429</v>
      </c>
      <c r="B142" s="2" t="s">
        <v>432</v>
      </c>
      <c r="C142" s="2" t="s">
        <v>433</v>
      </c>
      <c r="D142" s="2" t="s">
        <v>35</v>
      </c>
      <c r="E142" s="2" t="s">
        <v>49</v>
      </c>
      <c r="F142" s="3">
        <v>28481.16</v>
      </c>
      <c r="G142" s="2" t="s">
        <v>57</v>
      </c>
      <c r="H142" s="4">
        <v>43916</v>
      </c>
      <c r="I142" s="2">
        <v>1</v>
      </c>
      <c r="J142" s="2" t="s">
        <v>19</v>
      </c>
      <c r="K142" s="2" t="s">
        <v>26</v>
      </c>
      <c r="L142" s="1">
        <v>4.2410958904109588</v>
      </c>
      <c r="M142" s="2" t="s">
        <v>27</v>
      </c>
    </row>
    <row r="143" spans="1:13" x14ac:dyDescent="0.3">
      <c r="A143" s="2" t="s">
        <v>434</v>
      </c>
      <c r="B143" s="2" t="s">
        <v>435</v>
      </c>
      <c r="C143" s="2" t="s">
        <v>436</v>
      </c>
      <c r="D143" s="2" t="s">
        <v>16</v>
      </c>
      <c r="E143" s="2" t="s">
        <v>36</v>
      </c>
      <c r="F143" s="3">
        <v>114425.19</v>
      </c>
      <c r="G143" s="2" t="s">
        <v>37</v>
      </c>
      <c r="H143" s="4">
        <v>43857</v>
      </c>
      <c r="I143" s="2">
        <v>1</v>
      </c>
      <c r="J143" s="2" t="s">
        <v>19</v>
      </c>
      <c r="K143" s="2" t="s">
        <v>20</v>
      </c>
      <c r="L143" s="1">
        <v>4.4027397260273968</v>
      </c>
      <c r="M143" s="2" t="s">
        <v>27</v>
      </c>
    </row>
    <row r="144" spans="1:13" x14ac:dyDescent="0.3">
      <c r="A144" s="2" t="s">
        <v>437</v>
      </c>
      <c r="B144" s="2" t="s">
        <v>438</v>
      </c>
      <c r="C144" s="2" t="s">
        <v>439</v>
      </c>
      <c r="D144" s="2" t="s">
        <v>35</v>
      </c>
      <c r="E144" s="2" t="s">
        <v>49</v>
      </c>
      <c r="F144" s="3">
        <v>99460.78</v>
      </c>
      <c r="G144" s="2" t="s">
        <v>18</v>
      </c>
      <c r="H144" s="4">
        <v>43956</v>
      </c>
      <c r="I144" s="2">
        <v>1</v>
      </c>
      <c r="J144" s="2" t="s">
        <v>19</v>
      </c>
      <c r="K144" s="2" t="s">
        <v>38</v>
      </c>
      <c r="L144" s="1">
        <v>4.1315068493150688</v>
      </c>
      <c r="M144" s="2" t="s">
        <v>27</v>
      </c>
    </row>
    <row r="145" spans="1:13" x14ac:dyDescent="0.3">
      <c r="A145" s="2" t="s">
        <v>440</v>
      </c>
      <c r="B145" s="2" t="s">
        <v>441</v>
      </c>
      <c r="C145" s="2" t="s">
        <v>442</v>
      </c>
      <c r="D145" s="2" t="s">
        <v>35</v>
      </c>
      <c r="E145" s="2" t="s">
        <v>116</v>
      </c>
      <c r="F145" s="3">
        <v>30077.45</v>
      </c>
      <c r="G145" s="2" t="s">
        <v>57</v>
      </c>
      <c r="H145" s="4">
        <v>43474</v>
      </c>
      <c r="I145" s="2">
        <v>1</v>
      </c>
      <c r="J145" s="2" t="s">
        <v>19</v>
      </c>
      <c r="K145" s="2" t="s">
        <v>20</v>
      </c>
      <c r="L145" s="1">
        <v>5.4520547945205475</v>
      </c>
      <c r="M145" s="2" t="s">
        <v>27</v>
      </c>
    </row>
    <row r="146" spans="1:13" x14ac:dyDescent="0.3">
      <c r="A146" s="2" t="s">
        <v>443</v>
      </c>
      <c r="B146" s="2" t="s">
        <v>444</v>
      </c>
      <c r="C146" s="2" t="s">
        <v>445</v>
      </c>
      <c r="D146" s="2" t="s">
        <v>35</v>
      </c>
      <c r="E146" s="2" t="s">
        <v>94</v>
      </c>
      <c r="F146" s="3">
        <v>80360.41</v>
      </c>
      <c r="G146" s="2" t="s">
        <v>18</v>
      </c>
      <c r="H146" s="4">
        <v>44167</v>
      </c>
      <c r="I146" s="2">
        <v>1</v>
      </c>
      <c r="J146" s="2" t="s">
        <v>19</v>
      </c>
      <c r="K146" s="2" t="s">
        <v>38</v>
      </c>
      <c r="L146" s="1">
        <v>3.5534246575342467</v>
      </c>
      <c r="M146" s="2" t="s">
        <v>27</v>
      </c>
    </row>
    <row r="147" spans="1:13" x14ac:dyDescent="0.3">
      <c r="A147" s="2" t="s">
        <v>446</v>
      </c>
      <c r="B147" s="2" t="s">
        <v>447</v>
      </c>
      <c r="C147" s="2" t="s">
        <v>448</v>
      </c>
      <c r="D147" s="2" t="s">
        <v>16</v>
      </c>
      <c r="E147" s="2" t="s">
        <v>94</v>
      </c>
      <c r="F147" s="3">
        <v>68795.48</v>
      </c>
      <c r="G147" s="2" t="s">
        <v>18</v>
      </c>
      <c r="H147" s="4">
        <v>44277</v>
      </c>
      <c r="I147" s="2">
        <v>0.2</v>
      </c>
      <c r="J147" s="2" t="s">
        <v>19</v>
      </c>
      <c r="K147" s="2" t="s">
        <v>38</v>
      </c>
      <c r="L147" s="1">
        <v>3.2520547945205478</v>
      </c>
      <c r="M147" s="2" t="s">
        <v>21</v>
      </c>
    </row>
    <row r="148" spans="1:13" x14ac:dyDescent="0.3">
      <c r="A148" s="2" t="s">
        <v>446</v>
      </c>
      <c r="B148" s="2" t="s">
        <v>447</v>
      </c>
      <c r="C148" s="2" t="s">
        <v>448</v>
      </c>
      <c r="D148" s="2" t="s">
        <v>16</v>
      </c>
      <c r="E148" s="2" t="s">
        <v>94</v>
      </c>
      <c r="F148" s="3">
        <v>68795.48</v>
      </c>
      <c r="G148" s="2" t="s">
        <v>18</v>
      </c>
      <c r="H148" s="4">
        <v>44277</v>
      </c>
      <c r="I148" s="2">
        <v>0.2</v>
      </c>
      <c r="J148" s="2" t="s">
        <v>19</v>
      </c>
      <c r="K148" s="2" t="s">
        <v>38</v>
      </c>
      <c r="L148" s="1">
        <v>3.2520547945205478</v>
      </c>
      <c r="M148" s="2" t="s">
        <v>21</v>
      </c>
    </row>
    <row r="149" spans="1:13" x14ac:dyDescent="0.3">
      <c r="A149" s="2" t="s">
        <v>449</v>
      </c>
      <c r="B149" s="2" t="s">
        <v>450</v>
      </c>
      <c r="C149" s="2" t="s">
        <v>451</v>
      </c>
      <c r="D149" s="2" t="s">
        <v>35</v>
      </c>
      <c r="E149" s="2" t="s">
        <v>25</v>
      </c>
      <c r="F149" s="3">
        <v>88511.17</v>
      </c>
      <c r="G149" s="2" t="s">
        <v>18</v>
      </c>
      <c r="H149" s="4">
        <v>43950</v>
      </c>
      <c r="I149" s="2">
        <v>1</v>
      </c>
      <c r="J149" s="2" t="s">
        <v>19</v>
      </c>
      <c r="K149" s="2" t="s">
        <v>31</v>
      </c>
      <c r="L149" s="1">
        <v>4.1479452054794521</v>
      </c>
      <c r="M149" s="2" t="s">
        <v>27</v>
      </c>
    </row>
    <row r="150" spans="1:13" x14ac:dyDescent="0.3">
      <c r="A150" s="2" t="s">
        <v>452</v>
      </c>
      <c r="B150" s="2" t="s">
        <v>453</v>
      </c>
      <c r="C150" s="2" t="s">
        <v>454</v>
      </c>
      <c r="D150" s="2" t="s">
        <v>35</v>
      </c>
      <c r="E150" s="2" t="s">
        <v>53</v>
      </c>
      <c r="F150" s="3">
        <v>57925.91</v>
      </c>
      <c r="G150" s="2" t="s">
        <v>18</v>
      </c>
      <c r="H150" s="4">
        <v>43572</v>
      </c>
      <c r="I150" s="2">
        <v>0.5</v>
      </c>
      <c r="J150" s="2" t="s">
        <v>19</v>
      </c>
      <c r="K150" s="2" t="s">
        <v>20</v>
      </c>
      <c r="L150" s="1">
        <v>5.183561643835616</v>
      </c>
      <c r="M150" s="2" t="s">
        <v>21</v>
      </c>
    </row>
    <row r="151" spans="1:13" x14ac:dyDescent="0.3">
      <c r="A151" s="2" t="s">
        <v>455</v>
      </c>
      <c r="B151" s="2" t="s">
        <v>456</v>
      </c>
      <c r="C151" s="2" t="s">
        <v>457</v>
      </c>
      <c r="D151" s="2" t="s">
        <v>35</v>
      </c>
      <c r="E151" s="2" t="s">
        <v>25</v>
      </c>
      <c r="F151" s="3">
        <v>80169.42</v>
      </c>
      <c r="G151" s="2" t="s">
        <v>18</v>
      </c>
      <c r="H151" s="4">
        <v>44053</v>
      </c>
      <c r="I151" s="2">
        <v>1</v>
      </c>
      <c r="J151" s="2" t="s">
        <v>19</v>
      </c>
      <c r="K151" s="2" t="s">
        <v>80</v>
      </c>
      <c r="L151" s="1">
        <v>3.8657534246575342</v>
      </c>
      <c r="M151" s="2" t="s">
        <v>27</v>
      </c>
    </row>
    <row r="152" spans="1:13" x14ac:dyDescent="0.3">
      <c r="A152" s="2" t="s">
        <v>455</v>
      </c>
      <c r="B152" s="2" t="s">
        <v>456</v>
      </c>
      <c r="C152" s="2" t="s">
        <v>457</v>
      </c>
      <c r="D152" s="2" t="s">
        <v>35</v>
      </c>
      <c r="E152" s="2" t="s">
        <v>25</v>
      </c>
      <c r="F152" s="3">
        <v>80169.42</v>
      </c>
      <c r="G152" s="2" t="s">
        <v>18</v>
      </c>
      <c r="H152" s="4">
        <v>44053</v>
      </c>
      <c r="I152" s="2">
        <v>1</v>
      </c>
      <c r="J152" s="2" t="s">
        <v>19</v>
      </c>
      <c r="K152" s="2" t="s">
        <v>80</v>
      </c>
      <c r="L152" s="1">
        <v>3.8657534246575342</v>
      </c>
      <c r="M152" s="2" t="s">
        <v>27</v>
      </c>
    </row>
    <row r="153" spans="1:13" x14ac:dyDescent="0.3">
      <c r="A153" s="2" t="s">
        <v>458</v>
      </c>
      <c r="B153" s="2" t="s">
        <v>459</v>
      </c>
      <c r="C153" s="2" t="s">
        <v>460</v>
      </c>
      <c r="D153" s="2" t="s">
        <v>35</v>
      </c>
      <c r="E153" s="2" t="s">
        <v>87</v>
      </c>
      <c r="F153" s="3">
        <v>88689.09</v>
      </c>
      <c r="G153" s="2" t="s">
        <v>18</v>
      </c>
      <c r="H153" s="4">
        <v>43740</v>
      </c>
      <c r="I153" s="2">
        <v>1</v>
      </c>
      <c r="J153" s="2" t="s">
        <v>19</v>
      </c>
      <c r="K153" s="2" t="s">
        <v>76</v>
      </c>
      <c r="L153" s="1">
        <v>4.7232876712328764</v>
      </c>
      <c r="M153" s="2" t="s">
        <v>27</v>
      </c>
    </row>
    <row r="154" spans="1:13" x14ac:dyDescent="0.3">
      <c r="A154" s="2" t="s">
        <v>461</v>
      </c>
      <c r="B154" s="2" t="s">
        <v>305</v>
      </c>
      <c r="C154" s="2" t="s">
        <v>306</v>
      </c>
      <c r="D154" s="2" t="s">
        <v>35</v>
      </c>
      <c r="E154" s="2" t="s">
        <v>25</v>
      </c>
      <c r="F154" s="3">
        <v>90884.32</v>
      </c>
      <c r="G154" s="2" t="s">
        <v>18</v>
      </c>
      <c r="H154" s="4">
        <v>44039</v>
      </c>
      <c r="I154" s="2">
        <v>0.5</v>
      </c>
      <c r="J154" s="2" t="s">
        <v>19</v>
      </c>
      <c r="K154" s="2" t="s">
        <v>31</v>
      </c>
      <c r="L154" s="1">
        <v>3.904109589041096</v>
      </c>
      <c r="M154" s="2" t="s">
        <v>21</v>
      </c>
    </row>
    <row r="155" spans="1:13" x14ac:dyDescent="0.3">
      <c r="A155" s="2" t="s">
        <v>462</v>
      </c>
      <c r="B155" s="2" t="s">
        <v>463</v>
      </c>
      <c r="C155" s="2" t="s">
        <v>464</v>
      </c>
      <c r="D155" s="2" t="s">
        <v>35</v>
      </c>
      <c r="E155" s="2" t="s">
        <v>68</v>
      </c>
      <c r="F155" s="3">
        <v>69709.509999999995</v>
      </c>
      <c r="G155" s="2" t="s">
        <v>18</v>
      </c>
      <c r="H155" s="4">
        <v>43472</v>
      </c>
      <c r="I155" s="2">
        <v>1</v>
      </c>
      <c r="J155" s="2" t="s">
        <v>19</v>
      </c>
      <c r="K155" s="2" t="s">
        <v>26</v>
      </c>
      <c r="L155" s="1">
        <v>5.4575342465753423</v>
      </c>
      <c r="M155" s="2" t="s">
        <v>27</v>
      </c>
    </row>
    <row r="156" spans="1:13" x14ac:dyDescent="0.3">
      <c r="A156" s="2" t="s">
        <v>465</v>
      </c>
      <c r="B156" s="2" t="s">
        <v>466</v>
      </c>
      <c r="C156" s="2" t="s">
        <v>467</v>
      </c>
      <c r="D156" s="2" t="s">
        <v>190</v>
      </c>
      <c r="E156" s="2" t="s">
        <v>53</v>
      </c>
      <c r="F156" s="3">
        <v>98012.63</v>
      </c>
      <c r="G156" s="2" t="s">
        <v>18</v>
      </c>
      <c r="H156" s="4">
        <v>43780</v>
      </c>
      <c r="I156" s="2">
        <v>1</v>
      </c>
      <c r="J156" s="2" t="s">
        <v>19</v>
      </c>
      <c r="K156" s="2" t="s">
        <v>38</v>
      </c>
      <c r="L156" s="1">
        <v>4.6136986301369864</v>
      </c>
      <c r="M156" s="2" t="s">
        <v>27</v>
      </c>
    </row>
    <row r="157" spans="1:13" x14ac:dyDescent="0.3">
      <c r="A157" s="2" t="s">
        <v>468</v>
      </c>
      <c r="B157" s="2" t="s">
        <v>469</v>
      </c>
      <c r="C157" s="2" t="s">
        <v>470</v>
      </c>
      <c r="D157" s="2" t="s">
        <v>35</v>
      </c>
      <c r="E157" s="2" t="s">
        <v>64</v>
      </c>
      <c r="F157" s="3">
        <v>28329.77</v>
      </c>
      <c r="G157" s="2" t="s">
        <v>57</v>
      </c>
      <c r="H157" s="4">
        <v>43402</v>
      </c>
      <c r="I157" s="2">
        <v>1</v>
      </c>
      <c r="J157" s="2" t="s">
        <v>19</v>
      </c>
      <c r="K157" s="2" t="s">
        <v>76</v>
      </c>
      <c r="L157" s="1">
        <v>5.6493150684931503</v>
      </c>
      <c r="M157" s="2" t="s">
        <v>27</v>
      </c>
    </row>
    <row r="158" spans="1:13" x14ac:dyDescent="0.3">
      <c r="A158" s="2" t="s">
        <v>471</v>
      </c>
      <c r="B158" s="2" t="s">
        <v>472</v>
      </c>
      <c r="C158" s="2" t="s">
        <v>473</v>
      </c>
      <c r="D158" s="2" t="s">
        <v>190</v>
      </c>
      <c r="E158" s="2" t="s">
        <v>64</v>
      </c>
      <c r="F158" s="3">
        <v>67957.899999999994</v>
      </c>
      <c r="G158" s="2" t="s">
        <v>18</v>
      </c>
      <c r="H158" s="4">
        <v>43430</v>
      </c>
      <c r="I158" s="2">
        <v>1</v>
      </c>
      <c r="J158" s="2" t="s">
        <v>19</v>
      </c>
      <c r="K158" s="2" t="s">
        <v>72</v>
      </c>
      <c r="L158" s="1">
        <v>5.5726027397260278</v>
      </c>
      <c r="M158" s="2" t="s">
        <v>27</v>
      </c>
    </row>
    <row r="159" spans="1:13" x14ac:dyDescent="0.3">
      <c r="A159" s="2" t="s">
        <v>474</v>
      </c>
      <c r="B159" s="2" t="s">
        <v>475</v>
      </c>
      <c r="C159" s="2" t="s">
        <v>476</v>
      </c>
      <c r="D159" s="2" t="s">
        <v>16</v>
      </c>
      <c r="E159" s="2" t="s">
        <v>53</v>
      </c>
      <c r="F159" s="3">
        <v>69163.39</v>
      </c>
      <c r="G159" s="2" t="s">
        <v>18</v>
      </c>
      <c r="H159" s="4">
        <v>43397</v>
      </c>
      <c r="I159" s="2">
        <v>1</v>
      </c>
      <c r="J159" s="2" t="s">
        <v>19</v>
      </c>
      <c r="K159" s="2" t="s">
        <v>38</v>
      </c>
      <c r="L159" s="1">
        <v>5.6630136986301371</v>
      </c>
      <c r="M159" s="2" t="s">
        <v>27</v>
      </c>
    </row>
    <row r="160" spans="1:13" x14ac:dyDescent="0.3">
      <c r="A160" s="2" t="s">
        <v>474</v>
      </c>
      <c r="B160" s="2" t="s">
        <v>475</v>
      </c>
      <c r="C160" s="2" t="s">
        <v>476</v>
      </c>
      <c r="D160" s="2" t="s">
        <v>16</v>
      </c>
      <c r="E160" s="2" t="s">
        <v>53</v>
      </c>
      <c r="F160" s="3">
        <v>69163.39</v>
      </c>
      <c r="G160" s="2" t="s">
        <v>18</v>
      </c>
      <c r="H160" s="4">
        <v>43397</v>
      </c>
      <c r="I160" s="2">
        <v>1</v>
      </c>
      <c r="J160" s="2" t="s">
        <v>19</v>
      </c>
      <c r="K160" s="2" t="s">
        <v>38</v>
      </c>
      <c r="L160" s="1">
        <v>5.6630136986301371</v>
      </c>
      <c r="M160" s="2" t="s">
        <v>27</v>
      </c>
    </row>
    <row r="161" spans="1:13" x14ac:dyDescent="0.3">
      <c r="A161" s="2" t="s">
        <v>477</v>
      </c>
      <c r="B161" s="2" t="s">
        <v>478</v>
      </c>
      <c r="C161" s="2" t="s">
        <v>479</v>
      </c>
      <c r="D161" s="2" t="s">
        <v>35</v>
      </c>
      <c r="E161" s="2" t="s">
        <v>126</v>
      </c>
      <c r="F161" s="3">
        <v>96753.78</v>
      </c>
      <c r="G161" s="2" t="s">
        <v>18</v>
      </c>
      <c r="H161" s="4">
        <v>44494</v>
      </c>
      <c r="I161" s="2">
        <v>1</v>
      </c>
      <c r="J161" s="2" t="s">
        <v>19</v>
      </c>
      <c r="K161" s="2" t="s">
        <v>80</v>
      </c>
      <c r="L161" s="1">
        <v>2.6575342465753424</v>
      </c>
      <c r="M161" s="2" t="s">
        <v>27</v>
      </c>
    </row>
    <row r="162" spans="1:13" x14ac:dyDescent="0.3">
      <c r="A162" s="2" t="s">
        <v>477</v>
      </c>
      <c r="B162" s="2" t="s">
        <v>478</v>
      </c>
      <c r="C162" s="2" t="s">
        <v>479</v>
      </c>
      <c r="D162" s="2" t="s">
        <v>35</v>
      </c>
      <c r="E162" s="2" t="s">
        <v>126</v>
      </c>
      <c r="F162" s="3">
        <v>96753.78</v>
      </c>
      <c r="G162" s="2" t="s">
        <v>18</v>
      </c>
      <c r="H162" s="4">
        <v>44494</v>
      </c>
      <c r="I162" s="2">
        <v>1</v>
      </c>
      <c r="J162" s="2" t="s">
        <v>19</v>
      </c>
      <c r="K162" s="2" t="s">
        <v>80</v>
      </c>
      <c r="L162" s="1">
        <v>2.6575342465753424</v>
      </c>
      <c r="M162" s="2" t="s">
        <v>27</v>
      </c>
    </row>
    <row r="163" spans="1:13" x14ac:dyDescent="0.3">
      <c r="A163" s="2" t="s">
        <v>480</v>
      </c>
      <c r="B163" s="2" t="s">
        <v>481</v>
      </c>
      <c r="C163" s="2" t="s">
        <v>482</v>
      </c>
      <c r="D163" s="2" t="s">
        <v>16</v>
      </c>
      <c r="E163" s="2" t="s">
        <v>116</v>
      </c>
      <c r="F163" s="3">
        <v>28974.03</v>
      </c>
      <c r="G163" s="2" t="s">
        <v>57</v>
      </c>
      <c r="H163" s="4">
        <v>43733</v>
      </c>
      <c r="I163" s="2">
        <v>1</v>
      </c>
      <c r="J163" s="2" t="s">
        <v>19</v>
      </c>
      <c r="K163" s="2" t="s">
        <v>80</v>
      </c>
      <c r="L163" s="1">
        <v>4.7424657534246579</v>
      </c>
      <c r="M163" s="2" t="s">
        <v>27</v>
      </c>
    </row>
    <row r="164" spans="1:13" x14ac:dyDescent="0.3">
      <c r="A164" s="2" t="s">
        <v>483</v>
      </c>
      <c r="B164" s="2" t="s">
        <v>484</v>
      </c>
      <c r="C164" s="2" t="s">
        <v>485</v>
      </c>
      <c r="D164" s="2" t="s">
        <v>16</v>
      </c>
      <c r="E164" s="2" t="s">
        <v>17</v>
      </c>
      <c r="F164" s="3">
        <v>57002.02</v>
      </c>
      <c r="G164" s="2" t="s">
        <v>18</v>
      </c>
      <c r="H164" s="4">
        <v>43192</v>
      </c>
      <c r="I164" s="2">
        <v>0.7</v>
      </c>
      <c r="J164" s="2" t="s">
        <v>19</v>
      </c>
      <c r="K164" s="2" t="s">
        <v>26</v>
      </c>
      <c r="L164" s="1">
        <v>6.2246575342465755</v>
      </c>
      <c r="M164" s="2" t="s">
        <v>21</v>
      </c>
    </row>
    <row r="165" spans="1:13" x14ac:dyDescent="0.3">
      <c r="A165" s="2" t="s">
        <v>486</v>
      </c>
      <c r="B165" s="2" t="s">
        <v>487</v>
      </c>
      <c r="C165" s="2" t="s">
        <v>488</v>
      </c>
      <c r="D165" s="2" t="s">
        <v>16</v>
      </c>
      <c r="E165" s="2" t="s">
        <v>25</v>
      </c>
      <c r="F165" s="3">
        <v>33031.26</v>
      </c>
      <c r="G165" s="2" t="s">
        <v>57</v>
      </c>
      <c r="H165" s="4">
        <v>43468</v>
      </c>
      <c r="I165" s="2">
        <v>0.4</v>
      </c>
      <c r="J165" s="2" t="s">
        <v>19</v>
      </c>
      <c r="K165" s="2" t="s">
        <v>26</v>
      </c>
      <c r="L165" s="1">
        <v>5.4684931506849317</v>
      </c>
      <c r="M165" s="2" t="s">
        <v>21</v>
      </c>
    </row>
    <row r="166" spans="1:13" x14ac:dyDescent="0.3">
      <c r="A166" s="2" t="s">
        <v>489</v>
      </c>
      <c r="B166" s="2" t="s">
        <v>490</v>
      </c>
      <c r="C166" s="2" t="s">
        <v>491</v>
      </c>
      <c r="D166" s="2" t="s">
        <v>16</v>
      </c>
      <c r="E166" s="2" t="s">
        <v>126</v>
      </c>
      <c r="F166" s="3">
        <v>84762.76</v>
      </c>
      <c r="G166" s="2" t="s">
        <v>18</v>
      </c>
      <c r="H166" s="4">
        <v>43332</v>
      </c>
      <c r="I166" s="2">
        <v>1</v>
      </c>
      <c r="J166" s="2" t="s">
        <v>19</v>
      </c>
      <c r="K166" s="2" t="s">
        <v>26</v>
      </c>
      <c r="L166" s="1">
        <v>5.8410958904109593</v>
      </c>
      <c r="M166" s="2" t="s">
        <v>27</v>
      </c>
    </row>
    <row r="167" spans="1:13" x14ac:dyDescent="0.3">
      <c r="A167" s="2" t="s">
        <v>492</v>
      </c>
      <c r="B167" s="2" t="s">
        <v>493</v>
      </c>
      <c r="C167" s="2" t="s">
        <v>494</v>
      </c>
      <c r="D167" s="2" t="s">
        <v>35</v>
      </c>
      <c r="E167" s="2" t="s">
        <v>36</v>
      </c>
      <c r="F167" s="3">
        <v>92943.89</v>
      </c>
      <c r="G167" s="2" t="s">
        <v>18</v>
      </c>
      <c r="H167" s="4">
        <v>44510</v>
      </c>
      <c r="I167" s="2">
        <v>1</v>
      </c>
      <c r="J167" s="2" t="s">
        <v>19</v>
      </c>
      <c r="K167" s="2" t="s">
        <v>26</v>
      </c>
      <c r="L167" s="1">
        <v>2.6136986301369864</v>
      </c>
      <c r="M167" s="2" t="s">
        <v>27</v>
      </c>
    </row>
    <row r="168" spans="1:13" x14ac:dyDescent="0.3">
      <c r="A168" s="2" t="s">
        <v>495</v>
      </c>
      <c r="B168" s="2" t="s">
        <v>496</v>
      </c>
      <c r="C168" s="2" t="s">
        <v>497</v>
      </c>
      <c r="D168" s="2" t="s">
        <v>16</v>
      </c>
      <c r="E168" s="2" t="s">
        <v>68</v>
      </c>
      <c r="F168" s="3">
        <v>39700.82</v>
      </c>
      <c r="G168" s="2" t="s">
        <v>57</v>
      </c>
      <c r="H168" s="4">
        <v>44203</v>
      </c>
      <c r="I168" s="2">
        <v>0.8</v>
      </c>
      <c r="J168" s="2" t="s">
        <v>19</v>
      </c>
      <c r="K168" s="2" t="s">
        <v>72</v>
      </c>
      <c r="L168" s="1">
        <v>3.4547945205479453</v>
      </c>
      <c r="M168" s="2" t="s">
        <v>21</v>
      </c>
    </row>
    <row r="169" spans="1:13" x14ac:dyDescent="0.3">
      <c r="A169" s="2" t="s">
        <v>495</v>
      </c>
      <c r="B169" s="2" t="s">
        <v>71</v>
      </c>
      <c r="C169" s="2" t="s">
        <v>498</v>
      </c>
      <c r="D169" s="2" t="s">
        <v>16</v>
      </c>
      <c r="E169" s="2" t="s">
        <v>68</v>
      </c>
      <c r="F169" s="3">
        <v>39700.82</v>
      </c>
      <c r="G169" s="2" t="s">
        <v>57</v>
      </c>
      <c r="H169" s="4">
        <v>44203</v>
      </c>
      <c r="I169" s="2">
        <v>0.8</v>
      </c>
      <c r="J169" s="2" t="s">
        <v>19</v>
      </c>
      <c r="K169" s="2" t="s">
        <v>72</v>
      </c>
      <c r="L169" s="1">
        <v>3.4547945205479453</v>
      </c>
      <c r="M169" s="2" t="s">
        <v>21</v>
      </c>
    </row>
    <row r="170" spans="1:13" x14ac:dyDescent="0.3">
      <c r="A170" s="2" t="s">
        <v>499</v>
      </c>
      <c r="B170" s="2" t="s">
        <v>500</v>
      </c>
      <c r="C170" s="2" t="s">
        <v>501</v>
      </c>
      <c r="D170" s="2" t="s">
        <v>35</v>
      </c>
      <c r="E170" s="2" t="s">
        <v>25</v>
      </c>
      <c r="F170" s="3">
        <v>39784.239999999998</v>
      </c>
      <c r="G170" s="2" t="s">
        <v>57</v>
      </c>
      <c r="H170" s="4">
        <v>43465</v>
      </c>
      <c r="I170" s="2">
        <v>1</v>
      </c>
      <c r="J170" s="2" t="s">
        <v>502</v>
      </c>
      <c r="K170" s="2" t="s">
        <v>72</v>
      </c>
      <c r="L170" s="1">
        <v>5.4767123287671229</v>
      </c>
      <c r="M170" s="2" t="s">
        <v>27</v>
      </c>
    </row>
    <row r="171" spans="1:13" x14ac:dyDescent="0.3">
      <c r="A171" s="2" t="s">
        <v>503</v>
      </c>
      <c r="B171" s="2" t="s">
        <v>504</v>
      </c>
      <c r="C171" s="2" t="s">
        <v>505</v>
      </c>
      <c r="D171" s="2" t="s">
        <v>35</v>
      </c>
      <c r="E171" s="2" t="s">
        <v>42</v>
      </c>
      <c r="F171" s="3">
        <v>31816.57</v>
      </c>
      <c r="G171" s="2" t="s">
        <v>57</v>
      </c>
      <c r="H171" s="4">
        <v>43497</v>
      </c>
      <c r="I171" s="2">
        <v>0.3</v>
      </c>
      <c r="J171" s="2" t="s">
        <v>502</v>
      </c>
      <c r="K171" s="2" t="s">
        <v>38</v>
      </c>
      <c r="L171" s="1">
        <v>5.3890410958904109</v>
      </c>
      <c r="M171" s="2" t="s">
        <v>21</v>
      </c>
    </row>
    <row r="172" spans="1:13" x14ac:dyDescent="0.3">
      <c r="A172" s="2" t="s">
        <v>506</v>
      </c>
      <c r="B172" s="2" t="s">
        <v>507</v>
      </c>
      <c r="C172" s="2" t="s">
        <v>508</v>
      </c>
      <c r="D172" s="2" t="s">
        <v>16</v>
      </c>
      <c r="E172" s="2" t="s">
        <v>94</v>
      </c>
      <c r="F172" s="3">
        <v>67818.14</v>
      </c>
      <c r="G172" s="2" t="s">
        <v>18</v>
      </c>
      <c r="H172" s="4">
        <v>43406</v>
      </c>
      <c r="I172" s="2">
        <v>0.6</v>
      </c>
      <c r="J172" s="2" t="s">
        <v>502</v>
      </c>
      <c r="K172" s="2" t="s">
        <v>38</v>
      </c>
      <c r="L172" s="1">
        <v>5.6383561643835618</v>
      </c>
      <c r="M172" s="2" t="s">
        <v>21</v>
      </c>
    </row>
    <row r="173" spans="1:13" x14ac:dyDescent="0.3">
      <c r="A173" s="2" t="s">
        <v>506</v>
      </c>
      <c r="B173" s="2" t="s">
        <v>507</v>
      </c>
      <c r="C173" s="2" t="s">
        <v>508</v>
      </c>
      <c r="D173" s="2" t="s">
        <v>16</v>
      </c>
      <c r="E173" s="2" t="s">
        <v>94</v>
      </c>
      <c r="F173" s="3">
        <v>67818.14</v>
      </c>
      <c r="G173" s="2" t="s">
        <v>18</v>
      </c>
      <c r="H173" s="4">
        <v>43406</v>
      </c>
      <c r="I173" s="2">
        <v>0.6</v>
      </c>
      <c r="J173" s="2" t="s">
        <v>502</v>
      </c>
      <c r="K173" s="2" t="s">
        <v>38</v>
      </c>
      <c r="L173" s="1">
        <v>5.6383561643835618</v>
      </c>
      <c r="M173" s="2" t="s">
        <v>21</v>
      </c>
    </row>
    <row r="174" spans="1:13" x14ac:dyDescent="0.3">
      <c r="A174" s="2" t="s">
        <v>509</v>
      </c>
      <c r="B174" s="2" t="s">
        <v>510</v>
      </c>
      <c r="C174" s="2" t="s">
        <v>511</v>
      </c>
      <c r="D174" s="2" t="s">
        <v>35</v>
      </c>
      <c r="E174" s="2" t="s">
        <v>17</v>
      </c>
      <c r="F174" s="3">
        <v>79567.69</v>
      </c>
      <c r="G174" s="2" t="s">
        <v>18</v>
      </c>
      <c r="H174" s="4">
        <v>43272</v>
      </c>
      <c r="I174" s="2">
        <v>1</v>
      </c>
      <c r="J174" s="2" t="s">
        <v>502</v>
      </c>
      <c r="K174" s="2" t="s">
        <v>72</v>
      </c>
      <c r="L174" s="1">
        <v>6.0054794520547947</v>
      </c>
      <c r="M174" s="2" t="s">
        <v>27</v>
      </c>
    </row>
    <row r="175" spans="1:13" x14ac:dyDescent="0.3">
      <c r="A175" s="2" t="s">
        <v>512</v>
      </c>
      <c r="B175" s="2" t="s">
        <v>161</v>
      </c>
      <c r="C175" s="2" t="s">
        <v>162</v>
      </c>
      <c r="D175" s="2" t="s">
        <v>35</v>
      </c>
      <c r="E175" s="2" t="s">
        <v>64</v>
      </c>
      <c r="F175" s="3">
        <v>72876.91</v>
      </c>
      <c r="G175" s="2" t="s">
        <v>18</v>
      </c>
      <c r="H175" s="4">
        <v>43612</v>
      </c>
      <c r="I175" s="2">
        <v>0.4</v>
      </c>
      <c r="J175" s="2" t="s">
        <v>502</v>
      </c>
      <c r="K175" s="2" t="s">
        <v>80</v>
      </c>
      <c r="L175" s="1">
        <v>5.0739726027397261</v>
      </c>
      <c r="M175" s="2" t="s">
        <v>21</v>
      </c>
    </row>
    <row r="176" spans="1:13" x14ac:dyDescent="0.3">
      <c r="A176" s="2" t="s">
        <v>513</v>
      </c>
      <c r="B176" s="2" t="s">
        <v>514</v>
      </c>
      <c r="C176" s="2" t="s">
        <v>515</v>
      </c>
      <c r="D176" s="2" t="s">
        <v>35</v>
      </c>
      <c r="E176" s="2" t="s">
        <v>68</v>
      </c>
      <c r="F176" s="3">
        <v>78705.929999999993</v>
      </c>
      <c r="G176" s="2" t="s">
        <v>18</v>
      </c>
      <c r="H176" s="4">
        <v>43409</v>
      </c>
      <c r="I176" s="2">
        <v>1</v>
      </c>
      <c r="J176" s="2" t="s">
        <v>502</v>
      </c>
      <c r="K176" s="2" t="s">
        <v>76</v>
      </c>
      <c r="L176" s="1">
        <v>5.6301369863013697</v>
      </c>
      <c r="M176" s="2" t="s">
        <v>27</v>
      </c>
    </row>
    <row r="177" spans="1:13" x14ac:dyDescent="0.3">
      <c r="A177" s="2" t="s">
        <v>516</v>
      </c>
      <c r="B177" s="2" t="s">
        <v>517</v>
      </c>
      <c r="C177" s="2" t="s">
        <v>518</v>
      </c>
      <c r="D177" s="2" t="s">
        <v>35</v>
      </c>
      <c r="E177" s="2" t="s">
        <v>36</v>
      </c>
      <c r="F177" s="3">
        <v>43329.22</v>
      </c>
      <c r="G177" s="2" t="s">
        <v>57</v>
      </c>
      <c r="H177" s="4">
        <v>43809</v>
      </c>
      <c r="I177" s="2">
        <v>0.5</v>
      </c>
      <c r="J177" s="2" t="s">
        <v>502</v>
      </c>
      <c r="K177" s="2" t="s">
        <v>38</v>
      </c>
      <c r="L177" s="1">
        <v>4.5342465753424657</v>
      </c>
      <c r="M177" s="2" t="s">
        <v>21</v>
      </c>
    </row>
    <row r="178" spans="1:13" x14ac:dyDescent="0.3">
      <c r="A178" s="2" t="s">
        <v>519</v>
      </c>
      <c r="B178" s="2" t="s">
        <v>520</v>
      </c>
      <c r="C178" s="2" t="s">
        <v>521</v>
      </c>
      <c r="D178" s="2" t="s">
        <v>16</v>
      </c>
      <c r="E178" s="2" t="s">
        <v>68</v>
      </c>
      <c r="F178" s="3">
        <v>99683.67</v>
      </c>
      <c r="G178" s="2" t="s">
        <v>18</v>
      </c>
      <c r="H178" s="4">
        <v>43500</v>
      </c>
      <c r="I178" s="2">
        <v>1</v>
      </c>
      <c r="J178" s="2" t="s">
        <v>502</v>
      </c>
      <c r="K178" s="2" t="s">
        <v>76</v>
      </c>
      <c r="L178" s="1">
        <v>5.3808219178082188</v>
      </c>
      <c r="M178" s="2" t="s">
        <v>27</v>
      </c>
    </row>
    <row r="179" spans="1:13" x14ac:dyDescent="0.3">
      <c r="A179" s="2" t="s">
        <v>519</v>
      </c>
      <c r="B179" s="2" t="s">
        <v>520</v>
      </c>
      <c r="C179" s="2" t="s">
        <v>521</v>
      </c>
      <c r="D179" s="2" t="s">
        <v>16</v>
      </c>
      <c r="E179" s="2" t="s">
        <v>68</v>
      </c>
      <c r="F179" s="3">
        <v>99683.67</v>
      </c>
      <c r="G179" s="2" t="s">
        <v>18</v>
      </c>
      <c r="H179" s="4">
        <v>43500</v>
      </c>
      <c r="I179" s="2">
        <v>1</v>
      </c>
      <c r="J179" s="2" t="s">
        <v>502</v>
      </c>
      <c r="K179" s="2" t="s">
        <v>76</v>
      </c>
      <c r="L179" s="1">
        <v>5.3808219178082188</v>
      </c>
      <c r="M179" s="2" t="s">
        <v>27</v>
      </c>
    </row>
    <row r="180" spans="1:13" x14ac:dyDescent="0.3">
      <c r="A180" s="2" t="s">
        <v>522</v>
      </c>
      <c r="B180" s="2" t="s">
        <v>523</v>
      </c>
      <c r="C180" s="2" t="s">
        <v>524</v>
      </c>
      <c r="D180" s="2" t="s">
        <v>35</v>
      </c>
      <c r="E180" s="2" t="s">
        <v>94</v>
      </c>
      <c r="F180" s="3">
        <v>106775.14</v>
      </c>
      <c r="G180" s="2" t="s">
        <v>37</v>
      </c>
      <c r="H180" s="4">
        <v>43563</v>
      </c>
      <c r="I180" s="2">
        <v>1</v>
      </c>
      <c r="J180" s="2" t="s">
        <v>502</v>
      </c>
      <c r="K180" s="2" t="s">
        <v>26</v>
      </c>
      <c r="L180" s="1">
        <v>5.2082191780821914</v>
      </c>
      <c r="M180" s="2" t="s">
        <v>27</v>
      </c>
    </row>
    <row r="181" spans="1:13" x14ac:dyDescent="0.3">
      <c r="A181" s="2" t="s">
        <v>522</v>
      </c>
      <c r="B181" s="2" t="s">
        <v>525</v>
      </c>
      <c r="C181" s="2" t="s">
        <v>526</v>
      </c>
      <c r="D181" s="2" t="s">
        <v>35</v>
      </c>
      <c r="E181" s="2" t="s">
        <v>94</v>
      </c>
      <c r="F181" s="3">
        <v>106775.14</v>
      </c>
      <c r="G181" s="2" t="s">
        <v>37</v>
      </c>
      <c r="H181" s="4">
        <v>43563</v>
      </c>
      <c r="I181" s="2">
        <v>1</v>
      </c>
      <c r="J181" s="2" t="s">
        <v>502</v>
      </c>
      <c r="K181" s="2" t="s">
        <v>26</v>
      </c>
      <c r="L181" s="1">
        <v>5.2082191780821914</v>
      </c>
      <c r="M181" s="2" t="s">
        <v>27</v>
      </c>
    </row>
    <row r="182" spans="1:13" x14ac:dyDescent="0.3">
      <c r="A182" s="2" t="s">
        <v>527</v>
      </c>
      <c r="B182" s="2" t="s">
        <v>528</v>
      </c>
      <c r="C182" s="2" t="s">
        <v>529</v>
      </c>
      <c r="D182" s="2" t="s">
        <v>16</v>
      </c>
      <c r="E182" s="2" t="s">
        <v>64</v>
      </c>
      <c r="F182" s="3">
        <v>73488.679999999993</v>
      </c>
      <c r="G182" s="2" t="s">
        <v>18</v>
      </c>
      <c r="H182" s="4">
        <v>43570</v>
      </c>
      <c r="I182" s="2">
        <v>1</v>
      </c>
      <c r="J182" s="2" t="s">
        <v>502</v>
      </c>
      <c r="K182" s="2" t="s">
        <v>76</v>
      </c>
      <c r="L182" s="1">
        <v>5.1890410958904107</v>
      </c>
      <c r="M182" s="2" t="s">
        <v>27</v>
      </c>
    </row>
    <row r="183" spans="1:13" x14ac:dyDescent="0.3">
      <c r="A183" s="2" t="s">
        <v>530</v>
      </c>
      <c r="B183" s="2" t="s">
        <v>531</v>
      </c>
      <c r="C183" s="2" t="s">
        <v>532</v>
      </c>
      <c r="D183" s="2" t="s">
        <v>35</v>
      </c>
      <c r="E183" s="2" t="s">
        <v>49</v>
      </c>
      <c r="F183" s="3">
        <v>72843.23</v>
      </c>
      <c r="G183" s="2" t="s">
        <v>18</v>
      </c>
      <c r="H183" s="4">
        <v>43280</v>
      </c>
      <c r="I183" s="2">
        <v>1</v>
      </c>
      <c r="J183" s="2" t="s">
        <v>502</v>
      </c>
      <c r="K183" s="2" t="s">
        <v>20</v>
      </c>
      <c r="L183" s="1">
        <v>5.9835616438356167</v>
      </c>
      <c r="M183" s="2" t="s">
        <v>27</v>
      </c>
    </row>
    <row r="184" spans="1:13" x14ac:dyDescent="0.3">
      <c r="A184" s="2" t="s">
        <v>533</v>
      </c>
      <c r="B184" s="2" t="s">
        <v>534</v>
      </c>
      <c r="C184" s="2" t="s">
        <v>535</v>
      </c>
      <c r="D184" s="2" t="s">
        <v>16</v>
      </c>
      <c r="E184" s="2" t="s">
        <v>94</v>
      </c>
      <c r="F184" s="3">
        <v>91929.69</v>
      </c>
      <c r="G184" s="2" t="s">
        <v>18</v>
      </c>
      <c r="H184" s="4">
        <v>44085</v>
      </c>
      <c r="I184" s="2">
        <v>1</v>
      </c>
      <c r="J184" s="2" t="s">
        <v>502</v>
      </c>
      <c r="K184" s="2" t="s">
        <v>38</v>
      </c>
      <c r="L184" s="1">
        <v>3.7780821917808218</v>
      </c>
      <c r="M184" s="2" t="s">
        <v>27</v>
      </c>
    </row>
    <row r="185" spans="1:13" x14ac:dyDescent="0.3">
      <c r="A185" s="2" t="s">
        <v>536</v>
      </c>
      <c r="B185" s="2" t="s">
        <v>537</v>
      </c>
      <c r="C185" s="2" t="s">
        <v>538</v>
      </c>
      <c r="D185" s="2" t="s">
        <v>16</v>
      </c>
      <c r="E185" s="2" t="s">
        <v>64</v>
      </c>
      <c r="F185" s="3">
        <v>92704.48</v>
      </c>
      <c r="G185" s="2" t="s">
        <v>18</v>
      </c>
      <c r="H185" s="4">
        <v>43430</v>
      </c>
      <c r="I185" s="2">
        <v>1</v>
      </c>
      <c r="J185" s="2" t="s">
        <v>502</v>
      </c>
      <c r="K185" s="2" t="s">
        <v>31</v>
      </c>
      <c r="L185" s="1">
        <v>5.5726027397260278</v>
      </c>
      <c r="M185" s="2" t="s">
        <v>27</v>
      </c>
    </row>
    <row r="186" spans="1:13" x14ac:dyDescent="0.3">
      <c r="A186" s="2" t="s">
        <v>539</v>
      </c>
      <c r="B186" s="2" t="s">
        <v>540</v>
      </c>
      <c r="C186" s="2" t="s">
        <v>541</v>
      </c>
      <c r="D186" s="2" t="s">
        <v>16</v>
      </c>
      <c r="E186" s="2" t="s">
        <v>116</v>
      </c>
      <c r="F186" s="3">
        <v>100371.31</v>
      </c>
      <c r="G186" s="2" t="s">
        <v>37</v>
      </c>
      <c r="H186" s="4">
        <v>44067</v>
      </c>
      <c r="I186" s="2">
        <v>0.8</v>
      </c>
      <c r="J186" s="2" t="s">
        <v>502</v>
      </c>
      <c r="K186" s="2" t="s">
        <v>80</v>
      </c>
      <c r="L186" s="1">
        <v>3.8273972602739725</v>
      </c>
      <c r="M186" s="2" t="s">
        <v>21</v>
      </c>
    </row>
    <row r="187" spans="1:13" x14ac:dyDescent="0.3">
      <c r="A187" s="2" t="s">
        <v>542</v>
      </c>
      <c r="B187" s="2" t="s">
        <v>543</v>
      </c>
      <c r="C187" s="2" t="s">
        <v>544</v>
      </c>
      <c r="D187" s="2" t="s">
        <v>16</v>
      </c>
      <c r="E187" s="2" t="s">
        <v>17</v>
      </c>
      <c r="F187" s="3">
        <v>93964.3</v>
      </c>
      <c r="G187" s="2" t="s">
        <v>18</v>
      </c>
      <c r="H187" s="4">
        <v>44454</v>
      </c>
      <c r="I187" s="2">
        <v>0.4</v>
      </c>
      <c r="J187" s="2" t="s">
        <v>502</v>
      </c>
      <c r="K187" s="2" t="s">
        <v>26</v>
      </c>
      <c r="L187" s="1">
        <v>2.7671232876712328</v>
      </c>
      <c r="M187" s="2" t="s">
        <v>21</v>
      </c>
    </row>
    <row r="188" spans="1:13" x14ac:dyDescent="0.3">
      <c r="A188" s="2" t="s">
        <v>545</v>
      </c>
      <c r="B188" s="2" t="s">
        <v>534</v>
      </c>
      <c r="C188" s="2" t="s">
        <v>546</v>
      </c>
      <c r="D188" s="2" t="s">
        <v>190</v>
      </c>
      <c r="E188" s="2" t="s">
        <v>64</v>
      </c>
      <c r="F188" s="3">
        <v>99448.78</v>
      </c>
      <c r="G188" s="2" t="s">
        <v>18</v>
      </c>
      <c r="H188" s="4">
        <v>43473</v>
      </c>
      <c r="I188" s="2">
        <v>1</v>
      </c>
      <c r="J188" s="2" t="s">
        <v>502</v>
      </c>
      <c r="K188" s="2" t="s">
        <v>20</v>
      </c>
      <c r="L188" s="1">
        <v>5.4547945205479449</v>
      </c>
      <c r="M188" s="2" t="s">
        <v>27</v>
      </c>
    </row>
    <row r="189" spans="1:13" x14ac:dyDescent="0.3">
      <c r="A189" s="2" t="s">
        <v>545</v>
      </c>
      <c r="B189" s="2" t="s">
        <v>534</v>
      </c>
      <c r="C189" s="2" t="s">
        <v>546</v>
      </c>
      <c r="D189" s="2" t="s">
        <v>190</v>
      </c>
      <c r="E189" s="2" t="s">
        <v>64</v>
      </c>
      <c r="F189" s="3">
        <v>99448.78</v>
      </c>
      <c r="G189" s="2" t="s">
        <v>18</v>
      </c>
      <c r="H189" s="4">
        <v>43473</v>
      </c>
      <c r="I189" s="2">
        <v>1</v>
      </c>
      <c r="J189" s="2" t="s">
        <v>502</v>
      </c>
      <c r="K189" s="2" t="s">
        <v>20</v>
      </c>
      <c r="L189" s="1">
        <v>5.4547945205479449</v>
      </c>
      <c r="M189" s="2" t="s">
        <v>27</v>
      </c>
    </row>
    <row r="190" spans="1:13" x14ac:dyDescent="0.3">
      <c r="A190" s="2" t="s">
        <v>547</v>
      </c>
      <c r="B190" s="2" t="s">
        <v>548</v>
      </c>
      <c r="C190" s="2" t="s">
        <v>549</v>
      </c>
      <c r="D190" s="2" t="s">
        <v>35</v>
      </c>
      <c r="E190" s="2" t="s">
        <v>25</v>
      </c>
      <c r="F190" s="3">
        <v>69764.100000000006</v>
      </c>
      <c r="G190" s="2" t="s">
        <v>18</v>
      </c>
      <c r="H190" s="4">
        <v>44195</v>
      </c>
      <c r="I190" s="2">
        <v>1</v>
      </c>
      <c r="J190" s="2" t="s">
        <v>502</v>
      </c>
      <c r="K190" s="2" t="s">
        <v>76</v>
      </c>
      <c r="L190" s="1">
        <v>3.4767123287671233</v>
      </c>
      <c r="M190" s="2" t="s">
        <v>27</v>
      </c>
    </row>
    <row r="191" spans="1:13" x14ac:dyDescent="0.3">
      <c r="A191" s="2" t="s">
        <v>550</v>
      </c>
      <c r="B191" s="2" t="s">
        <v>551</v>
      </c>
      <c r="C191" s="2" t="s">
        <v>552</v>
      </c>
      <c r="D191" s="2" t="s">
        <v>16</v>
      </c>
      <c r="E191" s="2" t="s">
        <v>116</v>
      </c>
      <c r="F191" s="3">
        <v>104038.9</v>
      </c>
      <c r="G191" s="2" t="s">
        <v>37</v>
      </c>
      <c r="H191" s="4">
        <v>43815</v>
      </c>
      <c r="I191" s="2">
        <v>1</v>
      </c>
      <c r="J191" s="2" t="s">
        <v>502</v>
      </c>
      <c r="K191" s="2" t="s">
        <v>38</v>
      </c>
      <c r="L191" s="1">
        <v>4.5178082191780824</v>
      </c>
      <c r="M191" s="2" t="s">
        <v>27</v>
      </c>
    </row>
    <row r="192" spans="1:13" x14ac:dyDescent="0.3">
      <c r="A192" s="2" t="s">
        <v>553</v>
      </c>
      <c r="B192" s="2" t="s">
        <v>554</v>
      </c>
      <c r="C192" s="2" t="s">
        <v>555</v>
      </c>
      <c r="D192" s="2" t="s">
        <v>16</v>
      </c>
      <c r="E192" s="2" t="s">
        <v>49</v>
      </c>
      <c r="F192" s="3">
        <v>31089.22</v>
      </c>
      <c r="G192" s="2" t="s">
        <v>57</v>
      </c>
      <c r="H192" s="4">
        <v>43776</v>
      </c>
      <c r="I192" s="2">
        <v>1</v>
      </c>
      <c r="J192" s="2" t="s">
        <v>502</v>
      </c>
      <c r="K192" s="2" t="s">
        <v>72</v>
      </c>
      <c r="L192" s="1">
        <v>4.624657534246575</v>
      </c>
      <c r="M192" s="2" t="s">
        <v>27</v>
      </c>
    </row>
    <row r="193" spans="1:13" x14ac:dyDescent="0.3">
      <c r="A193" s="2" t="s">
        <v>556</v>
      </c>
      <c r="B193" s="2" t="s">
        <v>557</v>
      </c>
      <c r="C193" s="2" t="s">
        <v>558</v>
      </c>
      <c r="D193" s="2" t="s">
        <v>35</v>
      </c>
      <c r="E193" s="2" t="s">
        <v>36</v>
      </c>
      <c r="F193" s="3">
        <v>53184.02</v>
      </c>
      <c r="G193" s="2" t="s">
        <v>18</v>
      </c>
      <c r="H193" s="4">
        <v>43180</v>
      </c>
      <c r="I193" s="2">
        <v>1</v>
      </c>
      <c r="J193" s="2" t="s">
        <v>502</v>
      </c>
      <c r="K193" s="2" t="s">
        <v>38</v>
      </c>
      <c r="L193" s="1">
        <v>6.2575342465753421</v>
      </c>
      <c r="M193" s="2" t="s">
        <v>27</v>
      </c>
    </row>
    <row r="194" spans="1:13" x14ac:dyDescent="0.3">
      <c r="A194" s="2" t="s">
        <v>559</v>
      </c>
      <c r="B194" s="2" t="s">
        <v>560</v>
      </c>
      <c r="C194" s="2" t="s">
        <v>561</v>
      </c>
      <c r="D194" s="2" t="s">
        <v>16</v>
      </c>
      <c r="E194" s="2" t="s">
        <v>94</v>
      </c>
      <c r="F194" s="3">
        <v>49625.64</v>
      </c>
      <c r="G194" s="2" t="s">
        <v>57</v>
      </c>
      <c r="H194" s="4">
        <v>44384</v>
      </c>
      <c r="I194" s="2">
        <v>0.5</v>
      </c>
      <c r="J194" s="2" t="s">
        <v>502</v>
      </c>
      <c r="K194" s="2" t="s">
        <v>38</v>
      </c>
      <c r="L194" s="1">
        <v>2.9589041095890409</v>
      </c>
      <c r="M194" s="2" t="s">
        <v>21</v>
      </c>
    </row>
    <row r="195" spans="1:13" x14ac:dyDescent="0.3">
      <c r="A195" s="2" t="s">
        <v>562</v>
      </c>
      <c r="B195" s="2" t="s">
        <v>563</v>
      </c>
      <c r="C195" s="2" t="s">
        <v>564</v>
      </c>
      <c r="D195" s="2" t="s">
        <v>35</v>
      </c>
      <c r="E195" s="2" t="s">
        <v>87</v>
      </c>
      <c r="F195" s="3">
        <v>47646.95</v>
      </c>
      <c r="G195" s="2" t="s">
        <v>57</v>
      </c>
      <c r="H195" s="4">
        <v>43791</v>
      </c>
      <c r="I195" s="2">
        <v>0.3</v>
      </c>
      <c r="J195" s="2" t="s">
        <v>502</v>
      </c>
      <c r="K195" s="2" t="s">
        <v>72</v>
      </c>
      <c r="L195" s="1">
        <v>4.5835616438356164</v>
      </c>
      <c r="M195" s="2" t="s">
        <v>21</v>
      </c>
    </row>
    <row r="196" spans="1:13" x14ac:dyDescent="0.3">
      <c r="A196" s="2" t="s">
        <v>565</v>
      </c>
      <c r="B196" s="2" t="s">
        <v>89</v>
      </c>
      <c r="C196" s="2" t="s">
        <v>566</v>
      </c>
      <c r="D196" s="2" t="s">
        <v>35</v>
      </c>
      <c r="E196" s="2" t="s">
        <v>94</v>
      </c>
      <c r="F196" s="3">
        <v>89960.6</v>
      </c>
      <c r="G196" s="2" t="s">
        <v>18</v>
      </c>
      <c r="H196" s="4">
        <v>43515</v>
      </c>
      <c r="I196" s="2">
        <v>1</v>
      </c>
      <c r="J196" s="2" t="s">
        <v>502</v>
      </c>
      <c r="K196" s="2" t="s">
        <v>80</v>
      </c>
      <c r="L196" s="1">
        <v>5.3397260273972602</v>
      </c>
      <c r="M196" s="2" t="s">
        <v>27</v>
      </c>
    </row>
    <row r="197" spans="1:13" x14ac:dyDescent="0.3">
      <c r="A197" s="2" t="s">
        <v>567</v>
      </c>
      <c r="B197" s="2" t="s">
        <v>568</v>
      </c>
      <c r="C197" s="2" t="s">
        <v>569</v>
      </c>
      <c r="D197" s="2" t="s">
        <v>35</v>
      </c>
      <c r="E197" s="2" t="s">
        <v>126</v>
      </c>
      <c r="F197" s="3">
        <v>91314.75</v>
      </c>
      <c r="G197" s="2" t="s">
        <v>18</v>
      </c>
      <c r="H197" s="4">
        <v>43931</v>
      </c>
      <c r="I197" s="2">
        <v>1</v>
      </c>
      <c r="J197" s="2" t="s">
        <v>502</v>
      </c>
      <c r="K197" s="2" t="s">
        <v>76</v>
      </c>
      <c r="L197" s="1">
        <v>4.2</v>
      </c>
      <c r="M197" s="2" t="s">
        <v>27</v>
      </c>
    </row>
    <row r="198" spans="1:13" x14ac:dyDescent="0.3">
      <c r="A198" s="2" t="s">
        <v>570</v>
      </c>
      <c r="B198" s="2" t="s">
        <v>571</v>
      </c>
      <c r="C198" s="2" t="s">
        <v>572</v>
      </c>
      <c r="D198" s="2" t="s">
        <v>16</v>
      </c>
      <c r="E198" s="2" t="s">
        <v>87</v>
      </c>
      <c r="F198" s="3">
        <v>42314.39</v>
      </c>
      <c r="G198" s="2" t="s">
        <v>57</v>
      </c>
      <c r="H198" s="4">
        <v>44487</v>
      </c>
      <c r="I198" s="2">
        <v>1</v>
      </c>
      <c r="J198" s="2" t="s">
        <v>502</v>
      </c>
      <c r="K198" s="2" t="s">
        <v>38</v>
      </c>
      <c r="L198" s="1">
        <v>2.6767123287671235</v>
      </c>
      <c r="M198" s="2" t="s">
        <v>27</v>
      </c>
    </row>
    <row r="199" spans="1:13" x14ac:dyDescent="0.3">
      <c r="A199" s="2" t="s">
        <v>573</v>
      </c>
      <c r="B199" s="2" t="s">
        <v>574</v>
      </c>
      <c r="C199" s="2" t="s">
        <v>575</v>
      </c>
      <c r="D199" s="2" t="s">
        <v>16</v>
      </c>
      <c r="E199" s="2" t="s">
        <v>126</v>
      </c>
      <c r="F199" s="3">
        <v>84598.88</v>
      </c>
      <c r="G199" s="2" t="s">
        <v>18</v>
      </c>
      <c r="H199" s="4">
        <v>44116</v>
      </c>
      <c r="I199" s="2">
        <v>1</v>
      </c>
      <c r="J199" s="2" t="s">
        <v>502</v>
      </c>
      <c r="K199" s="2" t="s">
        <v>76</v>
      </c>
      <c r="L199" s="1">
        <v>3.6931506849315068</v>
      </c>
      <c r="M199" s="2" t="s">
        <v>27</v>
      </c>
    </row>
    <row r="200" spans="1:13" x14ac:dyDescent="0.3">
      <c r="A200" s="2" t="s">
        <v>573</v>
      </c>
      <c r="B200" s="2" t="s">
        <v>574</v>
      </c>
      <c r="C200" s="2" t="s">
        <v>575</v>
      </c>
      <c r="D200" s="2" t="s">
        <v>16</v>
      </c>
      <c r="E200" s="2" t="s">
        <v>126</v>
      </c>
      <c r="F200" s="3">
        <v>84598.88</v>
      </c>
      <c r="G200" s="2" t="s">
        <v>18</v>
      </c>
      <c r="H200" s="4">
        <v>44116</v>
      </c>
      <c r="I200" s="2">
        <v>1</v>
      </c>
      <c r="J200" s="2" t="s">
        <v>502</v>
      </c>
      <c r="K200" s="2" t="s">
        <v>76</v>
      </c>
      <c r="L200" s="1">
        <v>3.6931506849315068</v>
      </c>
      <c r="M200" s="2" t="s">
        <v>27</v>
      </c>
    </row>
    <row r="201" spans="1:13" x14ac:dyDescent="0.3">
      <c r="A201" s="2" t="s">
        <v>576</v>
      </c>
      <c r="B201" s="2" t="s">
        <v>577</v>
      </c>
      <c r="C201" s="2" t="s">
        <v>578</v>
      </c>
      <c r="D201" s="2" t="s">
        <v>35</v>
      </c>
      <c r="E201" s="2" t="s">
        <v>36</v>
      </c>
      <c r="F201" s="3">
        <v>78443.78</v>
      </c>
      <c r="G201" s="2" t="s">
        <v>18</v>
      </c>
      <c r="H201" s="4">
        <v>43599</v>
      </c>
      <c r="I201" s="2">
        <v>1</v>
      </c>
      <c r="J201" s="2" t="s">
        <v>502</v>
      </c>
      <c r="K201" s="2" t="s">
        <v>26</v>
      </c>
      <c r="L201" s="1">
        <v>5.1095890410958908</v>
      </c>
      <c r="M201" s="2" t="s">
        <v>27</v>
      </c>
    </row>
    <row r="202" spans="1:13" x14ac:dyDescent="0.3">
      <c r="A202" s="2" t="s">
        <v>579</v>
      </c>
      <c r="B202" s="2" t="s">
        <v>580</v>
      </c>
      <c r="C202" s="2" t="s">
        <v>581</v>
      </c>
      <c r="D202" s="2" t="s">
        <v>16</v>
      </c>
      <c r="E202" s="2" t="s">
        <v>68</v>
      </c>
      <c r="F202" s="3">
        <v>46751.7</v>
      </c>
      <c r="G202" s="2" t="s">
        <v>57</v>
      </c>
      <c r="H202" s="4">
        <v>43843</v>
      </c>
      <c r="I202" s="2">
        <v>1</v>
      </c>
      <c r="J202" s="2" t="s">
        <v>502</v>
      </c>
      <c r="K202" s="2" t="s">
        <v>26</v>
      </c>
      <c r="L202" s="1">
        <v>4.441095890410959</v>
      </c>
      <c r="M202" s="2" t="s">
        <v>27</v>
      </c>
    </row>
    <row r="203" spans="1:13" x14ac:dyDescent="0.3">
      <c r="A203" s="2" t="s">
        <v>582</v>
      </c>
      <c r="B203" s="2" t="s">
        <v>583</v>
      </c>
      <c r="C203" s="2" t="s">
        <v>584</v>
      </c>
      <c r="D203" s="2" t="s">
        <v>35</v>
      </c>
      <c r="E203" s="2" t="s">
        <v>53</v>
      </c>
      <c r="F203" s="3">
        <v>57419.35</v>
      </c>
      <c r="G203" s="2" t="s">
        <v>18</v>
      </c>
      <c r="H203" s="4">
        <v>43305</v>
      </c>
      <c r="I203" s="2">
        <v>1</v>
      </c>
      <c r="J203" s="2" t="s">
        <v>502</v>
      </c>
      <c r="K203" s="2" t="s">
        <v>80</v>
      </c>
      <c r="L203" s="1">
        <v>5.9150684931506845</v>
      </c>
      <c r="M203" s="2" t="s">
        <v>27</v>
      </c>
    </row>
    <row r="204" spans="1:13" x14ac:dyDescent="0.3">
      <c r="A204" s="2" t="s">
        <v>585</v>
      </c>
      <c r="B204" s="2" t="s">
        <v>586</v>
      </c>
      <c r="C204" s="2" t="s">
        <v>587</v>
      </c>
      <c r="D204" s="2" t="s">
        <v>35</v>
      </c>
      <c r="E204" s="2" t="s">
        <v>116</v>
      </c>
      <c r="F204" s="3">
        <v>95017.1</v>
      </c>
      <c r="G204" s="2" t="s">
        <v>18</v>
      </c>
      <c r="H204" s="4">
        <v>43283</v>
      </c>
      <c r="I204" s="2">
        <v>1</v>
      </c>
      <c r="J204" s="2" t="s">
        <v>502</v>
      </c>
      <c r="K204" s="2" t="s">
        <v>76</v>
      </c>
      <c r="L204" s="1">
        <v>5.9753424657534246</v>
      </c>
      <c r="M204" s="2" t="s">
        <v>27</v>
      </c>
    </row>
    <row r="205" spans="1:13" x14ac:dyDescent="0.3">
      <c r="A205" s="2" t="s">
        <v>588</v>
      </c>
      <c r="B205" s="2" t="s">
        <v>589</v>
      </c>
      <c r="C205" s="2" t="s">
        <v>590</v>
      </c>
      <c r="D205" s="2" t="s">
        <v>35</v>
      </c>
      <c r="E205" s="2" t="s">
        <v>42</v>
      </c>
      <c r="F205" s="3">
        <v>53535.62</v>
      </c>
      <c r="G205" s="2" t="s">
        <v>18</v>
      </c>
      <c r="H205" s="4">
        <v>44110</v>
      </c>
      <c r="I205" s="2">
        <v>0.5</v>
      </c>
      <c r="J205" s="2" t="s">
        <v>502</v>
      </c>
      <c r="K205" s="2" t="s">
        <v>76</v>
      </c>
      <c r="L205" s="1">
        <v>3.7095890410958905</v>
      </c>
      <c r="M205" s="2" t="s">
        <v>21</v>
      </c>
    </row>
    <row r="206" spans="1:13" x14ac:dyDescent="0.3">
      <c r="A206" s="2" t="s">
        <v>591</v>
      </c>
      <c r="B206" s="2" t="s">
        <v>592</v>
      </c>
      <c r="C206" s="2" t="s">
        <v>593</v>
      </c>
      <c r="D206" s="2" t="s">
        <v>16</v>
      </c>
      <c r="E206" s="2" t="s">
        <v>49</v>
      </c>
      <c r="F206" s="3">
        <v>31042.51</v>
      </c>
      <c r="G206" s="2" t="s">
        <v>57</v>
      </c>
      <c r="H206" s="4">
        <v>44473</v>
      </c>
      <c r="I206" s="2">
        <v>0.3</v>
      </c>
      <c r="J206" s="2" t="s">
        <v>502</v>
      </c>
      <c r="K206" s="2" t="s">
        <v>38</v>
      </c>
      <c r="L206" s="1">
        <v>2.7150684931506848</v>
      </c>
      <c r="M206" s="2" t="s">
        <v>21</v>
      </c>
    </row>
    <row r="207" spans="1:13" x14ac:dyDescent="0.3">
      <c r="A207" s="2" t="s">
        <v>594</v>
      </c>
      <c r="B207" s="2" t="s">
        <v>595</v>
      </c>
      <c r="C207" s="2" t="s">
        <v>596</v>
      </c>
      <c r="D207" s="2" t="s">
        <v>16</v>
      </c>
      <c r="E207" s="2" t="s">
        <v>25</v>
      </c>
      <c r="F207" s="3">
        <v>86233.83</v>
      </c>
      <c r="G207" s="2" t="s">
        <v>18</v>
      </c>
      <c r="H207" s="4">
        <v>43706</v>
      </c>
      <c r="I207" s="2">
        <v>1</v>
      </c>
      <c r="J207" s="2" t="s">
        <v>502</v>
      </c>
      <c r="K207" s="2" t="s">
        <v>72</v>
      </c>
      <c r="L207" s="1">
        <v>4.816438356164384</v>
      </c>
      <c r="M207" s="2" t="s">
        <v>27</v>
      </c>
    </row>
    <row r="208" spans="1:13" x14ac:dyDescent="0.3">
      <c r="A208" s="2" t="s">
        <v>597</v>
      </c>
      <c r="B208" s="2" t="s">
        <v>598</v>
      </c>
      <c r="C208" s="2" t="s">
        <v>599</v>
      </c>
      <c r="D208" s="2" t="s">
        <v>16</v>
      </c>
      <c r="E208" s="2" t="s">
        <v>25</v>
      </c>
      <c r="F208" s="3">
        <v>86558.58</v>
      </c>
      <c r="G208" s="2" t="s">
        <v>18</v>
      </c>
      <c r="H208" s="4">
        <v>43887</v>
      </c>
      <c r="I208" s="2">
        <v>1</v>
      </c>
      <c r="J208" s="2" t="s">
        <v>502</v>
      </c>
      <c r="K208" s="2" t="s">
        <v>38</v>
      </c>
      <c r="L208" s="1">
        <v>4.3205479452054796</v>
      </c>
      <c r="M208" s="2" t="s">
        <v>27</v>
      </c>
    </row>
    <row r="209" spans="1:13" x14ac:dyDescent="0.3">
      <c r="A209" s="2" t="s">
        <v>600</v>
      </c>
      <c r="B209" s="2" t="s">
        <v>601</v>
      </c>
      <c r="C209" s="2" t="s">
        <v>602</v>
      </c>
      <c r="D209" s="2" t="s">
        <v>16</v>
      </c>
      <c r="E209" s="2" t="s">
        <v>53</v>
      </c>
      <c r="F209" s="3">
        <v>76303.820000000007</v>
      </c>
      <c r="G209" s="2" t="s">
        <v>18</v>
      </c>
      <c r="H209" s="4">
        <v>43458</v>
      </c>
      <c r="I209" s="2">
        <v>1</v>
      </c>
      <c r="J209" s="2" t="s">
        <v>502</v>
      </c>
      <c r="K209" s="2" t="s">
        <v>26</v>
      </c>
      <c r="L209" s="1">
        <v>5.4958904109589044</v>
      </c>
      <c r="M209" s="2" t="s">
        <v>27</v>
      </c>
    </row>
    <row r="210" spans="1:13" x14ac:dyDescent="0.3">
      <c r="A210" s="2" t="s">
        <v>600</v>
      </c>
      <c r="B210" s="2" t="s">
        <v>603</v>
      </c>
      <c r="C210" s="2" t="s">
        <v>604</v>
      </c>
      <c r="D210" s="2" t="s">
        <v>16</v>
      </c>
      <c r="E210" s="2" t="s">
        <v>53</v>
      </c>
      <c r="F210" s="3">
        <v>76303.820000000007</v>
      </c>
      <c r="G210" s="2" t="s">
        <v>18</v>
      </c>
      <c r="H210" s="4">
        <v>43458</v>
      </c>
      <c r="I210" s="2">
        <v>1</v>
      </c>
      <c r="J210" s="2" t="s">
        <v>502</v>
      </c>
      <c r="K210" s="2" t="s">
        <v>26</v>
      </c>
      <c r="L210" s="1">
        <v>5.4958904109589044</v>
      </c>
      <c r="M210" s="2" t="s">
        <v>27</v>
      </c>
    </row>
    <row r="211" spans="1:13" x14ac:dyDescent="0.3">
      <c r="A211" s="2" t="s">
        <v>605</v>
      </c>
      <c r="B211" s="2" t="s">
        <v>606</v>
      </c>
      <c r="C211" s="2" t="s">
        <v>607</v>
      </c>
      <c r="D211" s="2" t="s">
        <v>16</v>
      </c>
      <c r="E211" s="2" t="s">
        <v>17</v>
      </c>
      <c r="F211" s="3">
        <v>101187.36</v>
      </c>
      <c r="G211" s="2" t="s">
        <v>37</v>
      </c>
      <c r="H211" s="4">
        <v>43258</v>
      </c>
      <c r="I211" s="2">
        <v>1</v>
      </c>
      <c r="J211" s="2" t="s">
        <v>502</v>
      </c>
      <c r="K211" s="2" t="s">
        <v>31</v>
      </c>
      <c r="L211" s="1">
        <v>6.043835616438356</v>
      </c>
      <c r="M211" s="2" t="s">
        <v>27</v>
      </c>
    </row>
    <row r="212" spans="1:13" x14ac:dyDescent="0.3">
      <c r="A212" s="2" t="s">
        <v>608</v>
      </c>
      <c r="B212" s="2" t="s">
        <v>609</v>
      </c>
      <c r="C212" s="2" t="s">
        <v>610</v>
      </c>
      <c r="D212" s="2" t="s">
        <v>35</v>
      </c>
      <c r="E212" s="2" t="s">
        <v>36</v>
      </c>
      <c r="F212" s="3">
        <v>61624.77</v>
      </c>
      <c r="G212" s="2" t="s">
        <v>18</v>
      </c>
      <c r="H212" s="4">
        <v>43430</v>
      </c>
      <c r="I212" s="2">
        <v>0.3</v>
      </c>
      <c r="J212" s="2" t="s">
        <v>502</v>
      </c>
      <c r="K212" s="2" t="s">
        <v>26</v>
      </c>
      <c r="L212" s="1">
        <v>5.5726027397260278</v>
      </c>
      <c r="M212" s="2" t="s">
        <v>21</v>
      </c>
    </row>
    <row r="213" spans="1:13" x14ac:dyDescent="0.3">
      <c r="A213" s="2" t="s">
        <v>611</v>
      </c>
      <c r="B213" s="2" t="s">
        <v>612</v>
      </c>
      <c r="C213" s="2" t="s">
        <v>613</v>
      </c>
      <c r="D213" s="2" t="s">
        <v>16</v>
      </c>
      <c r="E213" s="2" t="s">
        <v>87</v>
      </c>
      <c r="F213" s="3">
        <v>31172.77</v>
      </c>
      <c r="G213" s="2" t="s">
        <v>57</v>
      </c>
      <c r="H213" s="4">
        <v>43665</v>
      </c>
      <c r="I213" s="2">
        <v>1</v>
      </c>
      <c r="J213" s="2" t="s">
        <v>502</v>
      </c>
      <c r="K213" s="2" t="s">
        <v>38</v>
      </c>
      <c r="L213" s="1">
        <v>4.9287671232876713</v>
      </c>
      <c r="M213" s="2" t="s">
        <v>27</v>
      </c>
    </row>
    <row r="214" spans="1:13" x14ac:dyDescent="0.3">
      <c r="A214" s="2" t="s">
        <v>614</v>
      </c>
      <c r="B214" s="2" t="s">
        <v>615</v>
      </c>
      <c r="C214" s="2" t="s">
        <v>616</v>
      </c>
      <c r="D214" s="2" t="s">
        <v>35</v>
      </c>
      <c r="E214" s="2" t="s">
        <v>53</v>
      </c>
      <c r="F214" s="3">
        <v>102515.81</v>
      </c>
      <c r="G214" s="2" t="s">
        <v>37</v>
      </c>
      <c r="H214" s="4">
        <v>43902</v>
      </c>
      <c r="I214" s="2">
        <v>1</v>
      </c>
      <c r="J214" s="2" t="s">
        <v>502</v>
      </c>
      <c r="K214" s="2" t="s">
        <v>72</v>
      </c>
      <c r="L214" s="1">
        <v>4.279452054794521</v>
      </c>
      <c r="M214" s="2" t="s">
        <v>27</v>
      </c>
    </row>
    <row r="215" spans="1:13" x14ac:dyDescent="0.3">
      <c r="A215" s="2" t="s">
        <v>617</v>
      </c>
      <c r="B215" s="2" t="s">
        <v>618</v>
      </c>
      <c r="C215" s="2" t="s">
        <v>619</v>
      </c>
      <c r="D215" s="2" t="s">
        <v>16</v>
      </c>
      <c r="E215" s="2" t="s">
        <v>17</v>
      </c>
      <c r="F215" s="3">
        <v>93128.34</v>
      </c>
      <c r="G215" s="2" t="s">
        <v>18</v>
      </c>
      <c r="H215" s="4">
        <v>43164</v>
      </c>
      <c r="I215" s="2">
        <v>1</v>
      </c>
      <c r="J215" s="2" t="s">
        <v>502</v>
      </c>
      <c r="K215" s="2" t="s">
        <v>76</v>
      </c>
      <c r="L215" s="1">
        <v>6.3013698630136989</v>
      </c>
      <c r="M215" s="2" t="s">
        <v>27</v>
      </c>
    </row>
    <row r="216" spans="1:13" x14ac:dyDescent="0.3">
      <c r="A216" s="2" t="s">
        <v>620</v>
      </c>
      <c r="B216" s="2" t="s">
        <v>621</v>
      </c>
      <c r="C216" s="2" t="s">
        <v>622</v>
      </c>
      <c r="D216" s="2" t="s">
        <v>35</v>
      </c>
      <c r="E216" s="2" t="s">
        <v>17</v>
      </c>
      <c r="F216" s="3">
        <v>112778.28</v>
      </c>
      <c r="G216" s="2" t="s">
        <v>37</v>
      </c>
      <c r="H216" s="4">
        <v>43250</v>
      </c>
      <c r="I216" s="2">
        <v>1</v>
      </c>
      <c r="J216" s="2" t="s">
        <v>502</v>
      </c>
      <c r="K216" s="2" t="s">
        <v>38</v>
      </c>
      <c r="L216" s="1">
        <v>6.065753424657534</v>
      </c>
      <c r="M216" s="2" t="s">
        <v>27</v>
      </c>
    </row>
    <row r="217" spans="1:13" x14ac:dyDescent="0.3">
      <c r="A217" s="2" t="s">
        <v>620</v>
      </c>
      <c r="B217" s="2" t="s">
        <v>621</v>
      </c>
      <c r="C217" s="2" t="s">
        <v>622</v>
      </c>
      <c r="D217" s="2" t="s">
        <v>35</v>
      </c>
      <c r="E217" s="2" t="s">
        <v>17</v>
      </c>
      <c r="F217" s="3">
        <v>112778.28</v>
      </c>
      <c r="G217" s="2" t="s">
        <v>37</v>
      </c>
      <c r="H217" s="4">
        <v>43250</v>
      </c>
      <c r="I217" s="2">
        <v>1</v>
      </c>
      <c r="J217" s="2" t="s">
        <v>502</v>
      </c>
      <c r="K217" s="2" t="s">
        <v>38</v>
      </c>
      <c r="L217" s="1">
        <v>6.065753424657534</v>
      </c>
      <c r="M217" s="2" t="s">
        <v>27</v>
      </c>
    </row>
    <row r="218" spans="1:13" x14ac:dyDescent="0.3">
      <c r="A218" s="2" t="s">
        <v>623</v>
      </c>
      <c r="B218" s="2" t="s">
        <v>624</v>
      </c>
      <c r="C218" s="2" t="s">
        <v>625</v>
      </c>
      <c r="D218" s="2" t="s">
        <v>35</v>
      </c>
      <c r="E218" s="2" t="s">
        <v>64</v>
      </c>
      <c r="F218" s="3">
        <v>65569.36</v>
      </c>
      <c r="G218" s="2" t="s">
        <v>18</v>
      </c>
      <c r="H218" s="4">
        <v>43293</v>
      </c>
      <c r="I218" s="2">
        <v>1</v>
      </c>
      <c r="J218" s="2" t="s">
        <v>502</v>
      </c>
      <c r="K218" s="2" t="s">
        <v>80</v>
      </c>
      <c r="L218" s="1">
        <v>5.9479452054794519</v>
      </c>
      <c r="M218" s="2" t="s">
        <v>27</v>
      </c>
    </row>
    <row r="219" spans="1:13" x14ac:dyDescent="0.3">
      <c r="A219" s="2" t="s">
        <v>626</v>
      </c>
      <c r="B219" s="2" t="s">
        <v>627</v>
      </c>
      <c r="C219" s="2" t="s">
        <v>628</v>
      </c>
      <c r="D219" s="2" t="s">
        <v>16</v>
      </c>
      <c r="E219" s="2" t="s">
        <v>36</v>
      </c>
      <c r="F219" s="3">
        <v>51165.37</v>
      </c>
      <c r="G219" s="2" t="s">
        <v>18</v>
      </c>
      <c r="H219" s="4">
        <v>44237</v>
      </c>
      <c r="I219" s="2">
        <v>1</v>
      </c>
      <c r="J219" s="2" t="s">
        <v>502</v>
      </c>
      <c r="K219" s="2" t="s">
        <v>26</v>
      </c>
      <c r="L219" s="1">
        <v>3.3616438356164382</v>
      </c>
      <c r="M219" s="2" t="s">
        <v>27</v>
      </c>
    </row>
    <row r="220" spans="1:13" x14ac:dyDescent="0.3">
      <c r="A220" s="2" t="s">
        <v>629</v>
      </c>
      <c r="B220" s="2" t="s">
        <v>630</v>
      </c>
      <c r="C220" s="2" t="s">
        <v>631</v>
      </c>
      <c r="D220" s="2" t="s">
        <v>16</v>
      </c>
      <c r="E220" s="2" t="s">
        <v>68</v>
      </c>
      <c r="F220" s="3">
        <v>59434.18</v>
      </c>
      <c r="G220" s="2" t="s">
        <v>18</v>
      </c>
      <c r="H220" s="4">
        <v>43931</v>
      </c>
      <c r="I220" s="2">
        <v>1</v>
      </c>
      <c r="J220" s="2" t="s">
        <v>632</v>
      </c>
      <c r="K220" s="2" t="s">
        <v>76</v>
      </c>
      <c r="L220" s="1">
        <v>4.2</v>
      </c>
      <c r="M220" s="2" t="s">
        <v>27</v>
      </c>
    </row>
    <row r="221" spans="1:13" x14ac:dyDescent="0.3">
      <c r="A221" s="2" t="s">
        <v>633</v>
      </c>
      <c r="B221" s="2" t="s">
        <v>634</v>
      </c>
      <c r="C221" s="2" t="s">
        <v>635</v>
      </c>
      <c r="D221" s="2" t="s">
        <v>35</v>
      </c>
      <c r="E221" s="2" t="s">
        <v>17</v>
      </c>
      <c r="F221" s="3">
        <v>53949.26</v>
      </c>
      <c r="G221" s="2" t="s">
        <v>18</v>
      </c>
      <c r="H221" s="4">
        <v>43808</v>
      </c>
      <c r="I221" s="2">
        <v>1</v>
      </c>
      <c r="J221" s="2" t="s">
        <v>632</v>
      </c>
      <c r="K221" s="2" t="s">
        <v>31</v>
      </c>
      <c r="L221" s="1">
        <v>4.536986301369863</v>
      </c>
      <c r="M221" s="2" t="s">
        <v>27</v>
      </c>
    </row>
    <row r="222" spans="1:13" x14ac:dyDescent="0.3">
      <c r="A222" s="2" t="s">
        <v>633</v>
      </c>
      <c r="B222" s="2" t="s">
        <v>634</v>
      </c>
      <c r="C222" s="2" t="s">
        <v>635</v>
      </c>
      <c r="D222" s="2" t="s">
        <v>35</v>
      </c>
      <c r="E222" s="2" t="s">
        <v>17</v>
      </c>
      <c r="F222" s="3">
        <v>53949.26</v>
      </c>
      <c r="G222" s="2" t="s">
        <v>18</v>
      </c>
      <c r="H222" s="4">
        <v>43808</v>
      </c>
      <c r="I222" s="2">
        <v>1</v>
      </c>
      <c r="J222" s="2" t="s">
        <v>632</v>
      </c>
      <c r="K222" s="2" t="s">
        <v>31</v>
      </c>
      <c r="L222" s="1">
        <v>4.536986301369863</v>
      </c>
      <c r="M222" s="2" t="s">
        <v>27</v>
      </c>
    </row>
    <row r="223" spans="1:13" x14ac:dyDescent="0.3">
      <c r="A223" s="2" t="s">
        <v>636</v>
      </c>
      <c r="B223" s="2" t="s">
        <v>637</v>
      </c>
      <c r="C223" s="2" t="s">
        <v>638</v>
      </c>
      <c r="D223" s="2" t="s">
        <v>16</v>
      </c>
      <c r="E223" s="2" t="s">
        <v>68</v>
      </c>
      <c r="F223" s="3">
        <v>96555.53</v>
      </c>
      <c r="G223" s="2" t="s">
        <v>18</v>
      </c>
      <c r="H223" s="4">
        <v>43489</v>
      </c>
      <c r="I223" s="2">
        <v>0.2</v>
      </c>
      <c r="J223" s="2" t="s">
        <v>632</v>
      </c>
      <c r="K223" s="2" t="s">
        <v>26</v>
      </c>
      <c r="L223" s="1">
        <v>5.4109589041095889</v>
      </c>
      <c r="M223" s="2" t="s">
        <v>21</v>
      </c>
    </row>
    <row r="224" spans="1:13" x14ac:dyDescent="0.3">
      <c r="A224" s="2" t="s">
        <v>639</v>
      </c>
      <c r="B224" s="2" t="s">
        <v>640</v>
      </c>
      <c r="C224" s="2" t="s">
        <v>641</v>
      </c>
      <c r="D224" s="2" t="s">
        <v>16</v>
      </c>
      <c r="E224" s="2" t="s">
        <v>53</v>
      </c>
      <c r="F224" s="3">
        <v>71823.56</v>
      </c>
      <c r="G224" s="2" t="s">
        <v>18</v>
      </c>
      <c r="H224" s="4">
        <v>43374</v>
      </c>
      <c r="I224" s="2">
        <v>0.3</v>
      </c>
      <c r="J224" s="2" t="s">
        <v>632</v>
      </c>
      <c r="K224" s="2" t="s">
        <v>38</v>
      </c>
      <c r="L224" s="1">
        <v>5.7260273972602738</v>
      </c>
      <c r="M224" s="2" t="s">
        <v>21</v>
      </c>
    </row>
    <row r="225" spans="1:13" x14ac:dyDescent="0.3">
      <c r="A225" s="2" t="s">
        <v>639</v>
      </c>
      <c r="B225" s="2" t="s">
        <v>640</v>
      </c>
      <c r="C225" s="2" t="s">
        <v>641</v>
      </c>
      <c r="D225" s="2" t="s">
        <v>16</v>
      </c>
      <c r="E225" s="2" t="s">
        <v>53</v>
      </c>
      <c r="F225" s="3">
        <v>71823.56</v>
      </c>
      <c r="G225" s="2" t="s">
        <v>18</v>
      </c>
      <c r="H225" s="4">
        <v>43374</v>
      </c>
      <c r="I225" s="2">
        <v>0.3</v>
      </c>
      <c r="J225" s="2" t="s">
        <v>632</v>
      </c>
      <c r="K225" s="2" t="s">
        <v>38</v>
      </c>
      <c r="L225" s="1">
        <v>5.7260273972602738</v>
      </c>
      <c r="M225" s="2" t="s">
        <v>21</v>
      </c>
    </row>
    <row r="226" spans="1:13" x14ac:dyDescent="0.3">
      <c r="A226" s="2" t="s">
        <v>642</v>
      </c>
      <c r="B226" s="2" t="s">
        <v>643</v>
      </c>
      <c r="C226" s="2" t="s">
        <v>644</v>
      </c>
      <c r="D226" s="2" t="s">
        <v>35</v>
      </c>
      <c r="E226" s="2" t="s">
        <v>116</v>
      </c>
      <c r="F226" s="3">
        <v>61214.26</v>
      </c>
      <c r="G226" s="2" t="s">
        <v>18</v>
      </c>
      <c r="H226" s="4">
        <v>43171</v>
      </c>
      <c r="I226" s="2">
        <v>1</v>
      </c>
      <c r="J226" s="2" t="s">
        <v>632</v>
      </c>
      <c r="K226" s="2" t="s">
        <v>80</v>
      </c>
      <c r="L226" s="1">
        <v>6.2821917808219174</v>
      </c>
      <c r="M226" s="2" t="s">
        <v>27</v>
      </c>
    </row>
    <row r="227" spans="1:13" x14ac:dyDescent="0.3">
      <c r="A227" s="2" t="s">
        <v>645</v>
      </c>
      <c r="B227" s="2" t="s">
        <v>646</v>
      </c>
      <c r="C227" s="2" t="s">
        <v>647</v>
      </c>
      <c r="D227" s="2" t="s">
        <v>35</v>
      </c>
      <c r="E227" s="2" t="s">
        <v>36</v>
      </c>
      <c r="F227" s="3">
        <v>114465.93</v>
      </c>
      <c r="G227" s="2" t="s">
        <v>37</v>
      </c>
      <c r="H227" s="4">
        <v>43291</v>
      </c>
      <c r="I227" s="2">
        <v>1</v>
      </c>
      <c r="J227" s="2" t="s">
        <v>632</v>
      </c>
      <c r="K227" s="2" t="s">
        <v>20</v>
      </c>
      <c r="L227" s="1">
        <v>5.9534246575342467</v>
      </c>
      <c r="M227" s="2" t="s">
        <v>27</v>
      </c>
    </row>
    <row r="228" spans="1:13" x14ac:dyDescent="0.3">
      <c r="A228" s="2" t="s">
        <v>648</v>
      </c>
      <c r="B228" s="2" t="s">
        <v>649</v>
      </c>
      <c r="C228" s="2" t="s">
        <v>650</v>
      </c>
      <c r="D228" s="2" t="s">
        <v>16</v>
      </c>
      <c r="E228" s="2" t="s">
        <v>49</v>
      </c>
      <c r="F228" s="3">
        <v>32496.880000000001</v>
      </c>
      <c r="G228" s="2" t="s">
        <v>57</v>
      </c>
      <c r="H228" s="4">
        <v>43234</v>
      </c>
      <c r="I228" s="2">
        <v>1</v>
      </c>
      <c r="J228" s="2" t="s">
        <v>632</v>
      </c>
      <c r="K228" s="2" t="s">
        <v>38</v>
      </c>
      <c r="L228" s="1">
        <v>6.1095890410958908</v>
      </c>
      <c r="M228" s="2" t="s">
        <v>27</v>
      </c>
    </row>
    <row r="229" spans="1:13" x14ac:dyDescent="0.3">
      <c r="A229" s="2" t="s">
        <v>651</v>
      </c>
      <c r="B229" s="2" t="s">
        <v>652</v>
      </c>
      <c r="C229" s="2" t="s">
        <v>653</v>
      </c>
      <c r="D229" s="2" t="s">
        <v>35</v>
      </c>
      <c r="E229" s="2" t="s">
        <v>36</v>
      </c>
      <c r="F229" s="3">
        <v>39969.72</v>
      </c>
      <c r="G229" s="2" t="s">
        <v>57</v>
      </c>
      <c r="H229" s="4">
        <v>43444</v>
      </c>
      <c r="I229" s="2">
        <v>1</v>
      </c>
      <c r="J229" s="2" t="s">
        <v>632</v>
      </c>
      <c r="K229" s="2" t="s">
        <v>31</v>
      </c>
      <c r="L229" s="1">
        <v>5.5342465753424657</v>
      </c>
      <c r="M229" s="2" t="s">
        <v>27</v>
      </c>
    </row>
    <row r="230" spans="1:13" x14ac:dyDescent="0.3">
      <c r="A230" s="2" t="s">
        <v>654</v>
      </c>
      <c r="B230" s="2" t="s">
        <v>655</v>
      </c>
      <c r="C230" s="2" t="s">
        <v>656</v>
      </c>
      <c r="D230" s="2" t="s">
        <v>35</v>
      </c>
      <c r="E230" s="2" t="s">
        <v>49</v>
      </c>
      <c r="F230" s="3">
        <v>28481.16</v>
      </c>
      <c r="G230" s="2" t="s">
        <v>57</v>
      </c>
      <c r="H230" s="4">
        <v>44228</v>
      </c>
      <c r="I230" s="2">
        <v>1</v>
      </c>
      <c r="J230" s="2" t="s">
        <v>632</v>
      </c>
      <c r="K230" s="2" t="s">
        <v>72</v>
      </c>
      <c r="L230" s="1">
        <v>3.3863013698630136</v>
      </c>
      <c r="M230" s="2" t="s">
        <v>27</v>
      </c>
    </row>
    <row r="231" spans="1:13" x14ac:dyDescent="0.3">
      <c r="A231" s="2" t="s">
        <v>657</v>
      </c>
      <c r="B231" s="2" t="s">
        <v>658</v>
      </c>
      <c r="C231" s="2" t="s">
        <v>659</v>
      </c>
      <c r="D231" s="2" t="s">
        <v>35</v>
      </c>
      <c r="E231" s="2" t="s">
        <v>17</v>
      </c>
      <c r="F231" s="3">
        <v>114691.03</v>
      </c>
      <c r="G231" s="2" t="s">
        <v>37</v>
      </c>
      <c r="H231" s="4">
        <v>44039</v>
      </c>
      <c r="I231" s="2">
        <v>1</v>
      </c>
      <c r="J231" s="2" t="s">
        <v>632</v>
      </c>
      <c r="K231" s="2" t="s">
        <v>20</v>
      </c>
      <c r="L231" s="1">
        <v>3.904109589041096</v>
      </c>
      <c r="M231" s="2" t="s">
        <v>27</v>
      </c>
    </row>
    <row r="232" spans="1:13" x14ac:dyDescent="0.3">
      <c r="A232" s="2" t="s">
        <v>660</v>
      </c>
      <c r="B232" s="2" t="s">
        <v>661</v>
      </c>
      <c r="C232" s="2" t="s">
        <v>662</v>
      </c>
      <c r="D232" s="2" t="s">
        <v>35</v>
      </c>
      <c r="E232" s="2" t="s">
        <v>36</v>
      </c>
      <c r="F232" s="3">
        <v>82239.53</v>
      </c>
      <c r="G232" s="2" t="s">
        <v>18</v>
      </c>
      <c r="H232" s="4">
        <v>43846</v>
      </c>
      <c r="I232" s="2">
        <v>1</v>
      </c>
      <c r="J232" s="2" t="s">
        <v>632</v>
      </c>
      <c r="K232" s="2" t="s">
        <v>31</v>
      </c>
      <c r="L232" s="1">
        <v>4.4328767123287669</v>
      </c>
      <c r="M232" s="2" t="s">
        <v>27</v>
      </c>
    </row>
    <row r="233" spans="1:13" x14ac:dyDescent="0.3">
      <c r="A233" s="2" t="s">
        <v>663</v>
      </c>
      <c r="B233" s="2" t="s">
        <v>664</v>
      </c>
      <c r="C233" s="2" t="s">
        <v>665</v>
      </c>
      <c r="D233" s="2" t="s">
        <v>35</v>
      </c>
      <c r="E233" s="2" t="s">
        <v>126</v>
      </c>
      <c r="F233" s="3">
        <v>83191.95</v>
      </c>
      <c r="G233" s="2" t="s">
        <v>18</v>
      </c>
      <c r="H233" s="4">
        <v>43700</v>
      </c>
      <c r="I233" s="2">
        <v>0.6</v>
      </c>
      <c r="J233" s="2" t="s">
        <v>632</v>
      </c>
      <c r="K233" s="2" t="s">
        <v>38</v>
      </c>
      <c r="L233" s="1">
        <v>4.8328767123287673</v>
      </c>
      <c r="M233" s="2" t="s">
        <v>21</v>
      </c>
    </row>
    <row r="234" spans="1:13" x14ac:dyDescent="0.3">
      <c r="A234" s="2" t="s">
        <v>666</v>
      </c>
      <c r="B234" s="2" t="s">
        <v>667</v>
      </c>
      <c r="C234" s="2" t="s">
        <v>668</v>
      </c>
      <c r="D234" s="2" t="s">
        <v>35</v>
      </c>
      <c r="E234" s="2" t="s">
        <v>49</v>
      </c>
      <c r="F234" s="3">
        <v>113747.56</v>
      </c>
      <c r="G234" s="2" t="s">
        <v>37</v>
      </c>
      <c r="H234" s="4">
        <v>44270</v>
      </c>
      <c r="I234" s="2">
        <v>0.7</v>
      </c>
      <c r="J234" s="2" t="s">
        <v>632</v>
      </c>
      <c r="K234" s="2" t="s">
        <v>31</v>
      </c>
      <c r="L234" s="1">
        <v>3.2712328767123289</v>
      </c>
      <c r="M234" s="2" t="s">
        <v>21</v>
      </c>
    </row>
    <row r="235" spans="1:13" x14ac:dyDescent="0.3">
      <c r="A235" s="2" t="s">
        <v>666</v>
      </c>
      <c r="B235" s="2" t="s">
        <v>667</v>
      </c>
      <c r="C235" s="2" t="s">
        <v>668</v>
      </c>
      <c r="D235" s="2" t="s">
        <v>35</v>
      </c>
      <c r="E235" s="2" t="s">
        <v>49</v>
      </c>
      <c r="F235" s="3">
        <v>113747.56</v>
      </c>
      <c r="G235" s="2" t="s">
        <v>37</v>
      </c>
      <c r="H235" s="4">
        <v>44270</v>
      </c>
      <c r="I235" s="2">
        <v>0.7</v>
      </c>
      <c r="J235" s="2" t="s">
        <v>632</v>
      </c>
      <c r="K235" s="2" t="s">
        <v>31</v>
      </c>
      <c r="L235" s="1">
        <v>3.2712328767123289</v>
      </c>
      <c r="M235" s="2" t="s">
        <v>21</v>
      </c>
    </row>
    <row r="236" spans="1:13" x14ac:dyDescent="0.3">
      <c r="A236" s="2" t="s">
        <v>669</v>
      </c>
      <c r="B236" s="2" t="s">
        <v>670</v>
      </c>
      <c r="C236" s="2" t="s">
        <v>671</v>
      </c>
      <c r="D236" s="2" t="s">
        <v>35</v>
      </c>
      <c r="E236" s="2" t="s">
        <v>116</v>
      </c>
      <c r="F236" s="3">
        <v>37062.1</v>
      </c>
      <c r="G236" s="2" t="s">
        <v>57</v>
      </c>
      <c r="H236" s="4">
        <v>44357</v>
      </c>
      <c r="I236" s="2">
        <v>1</v>
      </c>
      <c r="J236" s="2" t="s">
        <v>632</v>
      </c>
      <c r="K236" s="2" t="s">
        <v>72</v>
      </c>
      <c r="L236" s="1">
        <v>3.032876712328767</v>
      </c>
      <c r="M236" s="2" t="s">
        <v>27</v>
      </c>
    </row>
    <row r="237" spans="1:13" x14ac:dyDescent="0.3">
      <c r="A237" s="2" t="s">
        <v>672</v>
      </c>
      <c r="B237" s="2" t="s">
        <v>673</v>
      </c>
      <c r="C237" s="2" t="s">
        <v>674</v>
      </c>
      <c r="D237" s="2" t="s">
        <v>35</v>
      </c>
      <c r="E237" s="2" t="s">
        <v>25</v>
      </c>
      <c r="F237" s="3">
        <v>73360.38</v>
      </c>
      <c r="G237" s="2" t="s">
        <v>18</v>
      </c>
      <c r="H237" s="4">
        <v>43972</v>
      </c>
      <c r="I237" s="2">
        <v>1</v>
      </c>
      <c r="J237" s="2" t="s">
        <v>632</v>
      </c>
      <c r="K237" s="2" t="s">
        <v>38</v>
      </c>
      <c r="L237" s="1">
        <v>4.087671232876712</v>
      </c>
      <c r="M237" s="2" t="s">
        <v>27</v>
      </c>
    </row>
    <row r="238" spans="1:13" x14ac:dyDescent="0.3">
      <c r="A238" s="2" t="s">
        <v>672</v>
      </c>
      <c r="B238" s="2" t="s">
        <v>673</v>
      </c>
      <c r="C238" s="2" t="s">
        <v>674</v>
      </c>
      <c r="D238" s="2" t="s">
        <v>35</v>
      </c>
      <c r="E238" s="2" t="s">
        <v>25</v>
      </c>
      <c r="F238" s="3">
        <v>73360.38</v>
      </c>
      <c r="G238" s="2" t="s">
        <v>18</v>
      </c>
      <c r="H238" s="4">
        <v>43972</v>
      </c>
      <c r="I238" s="2">
        <v>1</v>
      </c>
      <c r="J238" s="2" t="s">
        <v>632</v>
      </c>
      <c r="K238" s="2" t="s">
        <v>38</v>
      </c>
      <c r="L238" s="1">
        <v>4.087671232876712</v>
      </c>
      <c r="M238" s="2" t="s">
        <v>27</v>
      </c>
    </row>
    <row r="239" spans="1:13" x14ac:dyDescent="0.3">
      <c r="A239" s="2" t="s">
        <v>675</v>
      </c>
      <c r="B239" s="2" t="s">
        <v>676</v>
      </c>
      <c r="C239" s="2" t="s">
        <v>677</v>
      </c>
      <c r="D239" s="2" t="s">
        <v>35</v>
      </c>
      <c r="E239" s="2" t="s">
        <v>36</v>
      </c>
      <c r="F239" s="3">
        <v>36536.26</v>
      </c>
      <c r="G239" s="2" t="s">
        <v>57</v>
      </c>
      <c r="H239" s="4">
        <v>44358</v>
      </c>
      <c r="I239" s="2">
        <v>1</v>
      </c>
      <c r="J239" s="2" t="s">
        <v>632</v>
      </c>
      <c r="K239" s="2" t="s">
        <v>26</v>
      </c>
      <c r="L239" s="1">
        <v>3.0301369863013701</v>
      </c>
      <c r="M239" s="2" t="s">
        <v>27</v>
      </c>
    </row>
    <row r="240" spans="1:13" x14ac:dyDescent="0.3">
      <c r="A240" s="2" t="s">
        <v>678</v>
      </c>
      <c r="B240" s="2" t="s">
        <v>679</v>
      </c>
      <c r="C240" s="2" t="s">
        <v>680</v>
      </c>
      <c r="D240" s="2" t="s">
        <v>16</v>
      </c>
      <c r="E240" s="2" t="s">
        <v>94</v>
      </c>
      <c r="F240" s="3">
        <v>89829.33</v>
      </c>
      <c r="G240" s="2" t="s">
        <v>18</v>
      </c>
      <c r="H240" s="4">
        <v>43794</v>
      </c>
      <c r="I240" s="2">
        <v>1</v>
      </c>
      <c r="J240" s="2" t="s">
        <v>632</v>
      </c>
      <c r="K240" s="2" t="s">
        <v>72</v>
      </c>
      <c r="L240" s="1">
        <v>4.5753424657534243</v>
      </c>
      <c r="M240" s="2" t="s">
        <v>27</v>
      </c>
    </row>
    <row r="241" spans="1:13" x14ac:dyDescent="0.3">
      <c r="A241" s="2" t="s">
        <v>681</v>
      </c>
      <c r="B241" s="2" t="s">
        <v>682</v>
      </c>
      <c r="C241" s="2" t="s">
        <v>683</v>
      </c>
      <c r="D241" s="2" t="s">
        <v>190</v>
      </c>
      <c r="E241" s="2" t="s">
        <v>49</v>
      </c>
      <c r="F241" s="3">
        <v>63447.07</v>
      </c>
      <c r="G241" s="2" t="s">
        <v>18</v>
      </c>
      <c r="H241" s="4">
        <v>44148</v>
      </c>
      <c r="I241" s="2">
        <v>1</v>
      </c>
      <c r="J241" s="2" t="s">
        <v>632</v>
      </c>
      <c r="K241" s="2" t="s">
        <v>20</v>
      </c>
      <c r="L241" s="1">
        <v>3.6054794520547944</v>
      </c>
      <c r="M241" s="2" t="s">
        <v>27</v>
      </c>
    </row>
    <row r="242" spans="1:13" x14ac:dyDescent="0.3">
      <c r="A242" s="2" t="s">
        <v>684</v>
      </c>
      <c r="B242" s="2" t="s">
        <v>685</v>
      </c>
      <c r="C242" s="2" t="s">
        <v>686</v>
      </c>
      <c r="D242" s="2" t="s">
        <v>35</v>
      </c>
      <c r="E242" s="2" t="s">
        <v>126</v>
      </c>
      <c r="F242" s="3">
        <v>80772.92</v>
      </c>
      <c r="G242" s="2" t="s">
        <v>18</v>
      </c>
      <c r="H242" s="4">
        <v>44137</v>
      </c>
      <c r="I242" s="2">
        <v>1</v>
      </c>
      <c r="J242" s="2" t="s">
        <v>632</v>
      </c>
      <c r="K242" s="2" t="s">
        <v>38</v>
      </c>
      <c r="L242" s="1">
        <v>3.6356164383561644</v>
      </c>
      <c r="M242" s="2" t="s">
        <v>27</v>
      </c>
    </row>
    <row r="243" spans="1:13" x14ac:dyDescent="0.3">
      <c r="A243" s="2" t="s">
        <v>687</v>
      </c>
      <c r="B243" s="2" t="s">
        <v>688</v>
      </c>
      <c r="C243" s="2" t="s">
        <v>689</v>
      </c>
      <c r="D243" s="2" t="s">
        <v>35</v>
      </c>
      <c r="E243" s="2" t="s">
        <v>53</v>
      </c>
      <c r="F243" s="3">
        <v>52246.29</v>
      </c>
      <c r="G243" s="2" t="s">
        <v>18</v>
      </c>
      <c r="H243" s="4">
        <v>43573</v>
      </c>
      <c r="I243" s="2">
        <v>1</v>
      </c>
      <c r="J243" s="2" t="s">
        <v>632</v>
      </c>
      <c r="K243" s="2" t="s">
        <v>20</v>
      </c>
      <c r="L243" s="1">
        <v>5.1808219178082195</v>
      </c>
      <c r="M243" s="2" t="s">
        <v>27</v>
      </c>
    </row>
    <row r="244" spans="1:13" x14ac:dyDescent="0.3">
      <c r="A244" s="2" t="s">
        <v>690</v>
      </c>
      <c r="B244" s="2" t="s">
        <v>691</v>
      </c>
      <c r="C244" s="2" t="s">
        <v>692</v>
      </c>
      <c r="D244" s="2" t="s">
        <v>16</v>
      </c>
      <c r="E244" s="2" t="s">
        <v>116</v>
      </c>
      <c r="F244" s="3">
        <v>58935.92</v>
      </c>
      <c r="G244" s="2" t="s">
        <v>18</v>
      </c>
      <c r="H244" s="4">
        <v>43717</v>
      </c>
      <c r="I244" s="2">
        <v>1</v>
      </c>
      <c r="J244" s="2" t="s">
        <v>632</v>
      </c>
      <c r="K244" s="2" t="s">
        <v>26</v>
      </c>
      <c r="L244" s="1">
        <v>4.7863013698630139</v>
      </c>
      <c r="M244" s="2" t="s">
        <v>27</v>
      </c>
    </row>
    <row r="245" spans="1:13" x14ac:dyDescent="0.3">
      <c r="A245" s="2" t="s">
        <v>693</v>
      </c>
      <c r="B245" s="2" t="s">
        <v>694</v>
      </c>
      <c r="C245" s="2" t="s">
        <v>695</v>
      </c>
      <c r="D245" s="2" t="s">
        <v>35</v>
      </c>
      <c r="E245" s="2" t="s">
        <v>64</v>
      </c>
      <c r="F245" s="3">
        <v>83396.5</v>
      </c>
      <c r="G245" s="2" t="s">
        <v>18</v>
      </c>
      <c r="H245" s="4">
        <v>44285</v>
      </c>
      <c r="I245" s="2">
        <v>1</v>
      </c>
      <c r="J245" s="2" t="s">
        <v>632</v>
      </c>
      <c r="K245" s="2" t="s">
        <v>80</v>
      </c>
      <c r="L245" s="1">
        <v>3.2301369863013698</v>
      </c>
      <c r="M245" s="2" t="s">
        <v>27</v>
      </c>
    </row>
    <row r="246" spans="1:13" x14ac:dyDescent="0.3">
      <c r="A246" s="2" t="s">
        <v>696</v>
      </c>
      <c r="B246" s="2" t="s">
        <v>697</v>
      </c>
      <c r="C246" s="2" t="s">
        <v>698</v>
      </c>
      <c r="D246" s="2" t="s">
        <v>35</v>
      </c>
      <c r="E246" s="2" t="s">
        <v>87</v>
      </c>
      <c r="F246" s="3">
        <v>111815.49</v>
      </c>
      <c r="G246" s="2" t="s">
        <v>37</v>
      </c>
      <c r="H246" s="4">
        <v>43895</v>
      </c>
      <c r="I246" s="2">
        <v>0.7</v>
      </c>
      <c r="J246" s="2" t="s">
        <v>632</v>
      </c>
      <c r="K246" s="2" t="s">
        <v>38</v>
      </c>
      <c r="L246" s="1">
        <v>4.2986301369863016</v>
      </c>
      <c r="M246" s="2" t="s">
        <v>21</v>
      </c>
    </row>
    <row r="247" spans="1:13" x14ac:dyDescent="0.3">
      <c r="A247" s="2" t="s">
        <v>696</v>
      </c>
      <c r="B247" s="2" t="s">
        <v>697</v>
      </c>
      <c r="C247" s="2" t="s">
        <v>698</v>
      </c>
      <c r="D247" s="2" t="s">
        <v>35</v>
      </c>
      <c r="E247" s="2" t="s">
        <v>87</v>
      </c>
      <c r="F247" s="3">
        <v>111815.49</v>
      </c>
      <c r="G247" s="2" t="s">
        <v>37</v>
      </c>
      <c r="H247" s="4">
        <v>43895</v>
      </c>
      <c r="I247" s="2">
        <v>0.7</v>
      </c>
      <c r="J247" s="2" t="s">
        <v>632</v>
      </c>
      <c r="K247" s="2" t="s">
        <v>38</v>
      </c>
      <c r="L247" s="1">
        <v>4.2986301369863016</v>
      </c>
      <c r="M247" s="2" t="s">
        <v>21</v>
      </c>
    </row>
    <row r="248" spans="1:13" x14ac:dyDescent="0.3">
      <c r="A248" s="2" t="s">
        <v>699</v>
      </c>
      <c r="B248" s="2" t="s">
        <v>700</v>
      </c>
      <c r="C248" s="2" t="s">
        <v>701</v>
      </c>
      <c r="D248" s="2" t="s">
        <v>16</v>
      </c>
      <c r="E248" s="2" t="s">
        <v>17</v>
      </c>
      <c r="F248" s="3">
        <v>116767.63</v>
      </c>
      <c r="G248" s="2" t="s">
        <v>37</v>
      </c>
      <c r="H248" s="4">
        <v>43949</v>
      </c>
      <c r="I248" s="2">
        <v>0.4</v>
      </c>
      <c r="J248" s="2" t="s">
        <v>632</v>
      </c>
      <c r="K248" s="2" t="s">
        <v>72</v>
      </c>
      <c r="L248" s="1">
        <v>4.1506849315068495</v>
      </c>
      <c r="M248" s="2" t="s">
        <v>21</v>
      </c>
    </row>
    <row r="249" spans="1:13" x14ac:dyDescent="0.3">
      <c r="A249" s="2" t="s">
        <v>699</v>
      </c>
      <c r="B249" s="2" t="s">
        <v>702</v>
      </c>
      <c r="C249" s="2" t="s">
        <v>703</v>
      </c>
      <c r="D249" s="2" t="s">
        <v>16</v>
      </c>
      <c r="E249" s="2" t="s">
        <v>17</v>
      </c>
      <c r="F249" s="3">
        <v>116767.63</v>
      </c>
      <c r="G249" s="2" t="s">
        <v>37</v>
      </c>
      <c r="H249" s="4">
        <v>43949</v>
      </c>
      <c r="I249" s="2">
        <v>0.4</v>
      </c>
      <c r="J249" s="2" t="s">
        <v>632</v>
      </c>
      <c r="K249" s="2" t="s">
        <v>72</v>
      </c>
      <c r="L249" s="1">
        <v>4.1506849315068495</v>
      </c>
      <c r="M249" s="2" t="s">
        <v>21</v>
      </c>
    </row>
    <row r="250" spans="1:13" x14ac:dyDescent="0.3">
      <c r="A250" s="2" t="s">
        <v>704</v>
      </c>
      <c r="B250" s="2" t="s">
        <v>705</v>
      </c>
      <c r="C250" s="2" t="s">
        <v>706</v>
      </c>
      <c r="D250" s="2" t="s">
        <v>190</v>
      </c>
      <c r="E250" s="2" t="s">
        <v>17</v>
      </c>
      <c r="F250" s="3">
        <v>78840.23</v>
      </c>
      <c r="G250" s="2" t="s">
        <v>18</v>
      </c>
      <c r="H250" s="4">
        <v>43633</v>
      </c>
      <c r="I250" s="2">
        <v>1</v>
      </c>
      <c r="J250" s="2" t="s">
        <v>632</v>
      </c>
      <c r="K250" s="2" t="s">
        <v>38</v>
      </c>
      <c r="L250" s="1">
        <v>5.0164383561643833</v>
      </c>
      <c r="M250" s="2" t="s">
        <v>27</v>
      </c>
    </row>
    <row r="251" spans="1:13" x14ac:dyDescent="0.3">
      <c r="A251" s="2" t="s">
        <v>707</v>
      </c>
      <c r="B251" s="2" t="s">
        <v>708</v>
      </c>
      <c r="C251" s="2" t="s">
        <v>709</v>
      </c>
      <c r="D251" s="2" t="s">
        <v>35</v>
      </c>
      <c r="E251" s="2" t="s">
        <v>53</v>
      </c>
      <c r="F251" s="3">
        <v>38825.18</v>
      </c>
      <c r="G251" s="2" t="s">
        <v>57</v>
      </c>
      <c r="H251" s="4">
        <v>43696</v>
      </c>
      <c r="I251" s="2">
        <v>1</v>
      </c>
      <c r="J251" s="2" t="s">
        <v>632</v>
      </c>
      <c r="K251" s="2" t="s">
        <v>38</v>
      </c>
      <c r="L251" s="1">
        <v>4.8438356164383558</v>
      </c>
      <c r="M251" s="2" t="s">
        <v>27</v>
      </c>
    </row>
    <row r="252" spans="1:13" x14ac:dyDescent="0.3">
      <c r="A252" s="2" t="s">
        <v>710</v>
      </c>
      <c r="B252" s="2" t="s">
        <v>711</v>
      </c>
      <c r="C252" s="2" t="s">
        <v>712</v>
      </c>
      <c r="D252" s="2" t="s">
        <v>35</v>
      </c>
      <c r="E252" s="2" t="s">
        <v>25</v>
      </c>
      <c r="F252" s="3">
        <v>106400.02</v>
      </c>
      <c r="G252" s="2" t="s">
        <v>37</v>
      </c>
      <c r="H252" s="4">
        <v>44021</v>
      </c>
      <c r="I252" s="2">
        <v>1</v>
      </c>
      <c r="J252" s="2" t="s">
        <v>632</v>
      </c>
      <c r="K252" s="2" t="s">
        <v>72</v>
      </c>
      <c r="L252" s="1">
        <v>3.9534246575342467</v>
      </c>
      <c r="M252" s="2" t="s">
        <v>27</v>
      </c>
    </row>
    <row r="253" spans="1:13" x14ac:dyDescent="0.3">
      <c r="A253" s="2" t="s">
        <v>710</v>
      </c>
      <c r="B253" s="2" t="s">
        <v>713</v>
      </c>
      <c r="C253" s="2" t="s">
        <v>714</v>
      </c>
      <c r="D253" s="2" t="s">
        <v>35</v>
      </c>
      <c r="E253" s="2" t="s">
        <v>25</v>
      </c>
      <c r="F253" s="3">
        <v>106400.02</v>
      </c>
      <c r="G253" s="2" t="s">
        <v>37</v>
      </c>
      <c r="H253" s="4">
        <v>44021</v>
      </c>
      <c r="I253" s="2">
        <v>1</v>
      </c>
      <c r="J253" s="2" t="s">
        <v>632</v>
      </c>
      <c r="K253" s="2" t="s">
        <v>72</v>
      </c>
      <c r="L253" s="1">
        <v>3.9534246575342467</v>
      </c>
      <c r="M253" s="2" t="s">
        <v>27</v>
      </c>
    </row>
    <row r="254" spans="1:13" x14ac:dyDescent="0.3">
      <c r="A254" s="2" t="s">
        <v>715</v>
      </c>
      <c r="B254" s="2" t="s">
        <v>716</v>
      </c>
      <c r="C254" s="2" t="s">
        <v>717</v>
      </c>
      <c r="D254" s="2" t="s">
        <v>35</v>
      </c>
      <c r="E254" s="2" t="s">
        <v>68</v>
      </c>
      <c r="F254" s="3">
        <v>28160.79</v>
      </c>
      <c r="G254" s="2" t="s">
        <v>57</v>
      </c>
      <c r="H254" s="4">
        <v>43129</v>
      </c>
      <c r="I254" s="2">
        <v>1</v>
      </c>
      <c r="J254" s="2" t="s">
        <v>632</v>
      </c>
      <c r="K254" s="2" t="s">
        <v>38</v>
      </c>
      <c r="L254" s="1">
        <v>6.397260273972603</v>
      </c>
      <c r="M254" s="2" t="s">
        <v>27</v>
      </c>
    </row>
    <row r="255" spans="1:13" x14ac:dyDescent="0.3">
      <c r="A255" s="2" t="s">
        <v>718</v>
      </c>
      <c r="B255" s="2" t="s">
        <v>719</v>
      </c>
      <c r="C255" s="2" t="s">
        <v>720</v>
      </c>
      <c r="D255" s="2" t="s">
        <v>16</v>
      </c>
      <c r="E255" s="2" t="s">
        <v>17</v>
      </c>
      <c r="F255" s="3">
        <v>58744.17</v>
      </c>
      <c r="G255" s="2" t="s">
        <v>18</v>
      </c>
      <c r="H255" s="4">
        <v>43171</v>
      </c>
      <c r="I255" s="2">
        <v>1</v>
      </c>
      <c r="J255" s="2" t="s">
        <v>632</v>
      </c>
      <c r="K255" s="2" t="s">
        <v>31</v>
      </c>
      <c r="L255" s="1">
        <v>6.2821917808219174</v>
      </c>
      <c r="M255" s="2" t="s">
        <v>27</v>
      </c>
    </row>
    <row r="256" spans="1:13" x14ac:dyDescent="0.3">
      <c r="A256" s="2" t="s">
        <v>721</v>
      </c>
      <c r="B256" s="2" t="s">
        <v>722</v>
      </c>
      <c r="C256" s="2" t="s">
        <v>723</v>
      </c>
      <c r="D256" s="2" t="s">
        <v>16</v>
      </c>
      <c r="E256" s="2" t="s">
        <v>42</v>
      </c>
      <c r="F256" s="3">
        <v>70755.5</v>
      </c>
      <c r="G256" s="2" t="s">
        <v>18</v>
      </c>
      <c r="H256" s="4">
        <v>44090</v>
      </c>
      <c r="I256" s="2">
        <v>0.8</v>
      </c>
      <c r="J256" s="2" t="s">
        <v>632</v>
      </c>
      <c r="K256" s="2" t="s">
        <v>26</v>
      </c>
      <c r="L256" s="1">
        <v>3.7643835616438355</v>
      </c>
      <c r="M256" s="2" t="s">
        <v>21</v>
      </c>
    </row>
    <row r="257" spans="1:13" x14ac:dyDescent="0.3">
      <c r="A257" s="2" t="s">
        <v>724</v>
      </c>
      <c r="B257" s="2" t="s">
        <v>725</v>
      </c>
      <c r="C257" s="2" t="s">
        <v>726</v>
      </c>
      <c r="D257" s="2" t="s">
        <v>16</v>
      </c>
      <c r="E257" s="2" t="s">
        <v>94</v>
      </c>
      <c r="F257" s="3">
        <v>106665.67</v>
      </c>
      <c r="G257" s="2" t="s">
        <v>37</v>
      </c>
      <c r="H257" s="4">
        <v>43311</v>
      </c>
      <c r="I257" s="2">
        <v>1</v>
      </c>
      <c r="J257" s="2" t="s">
        <v>632</v>
      </c>
      <c r="K257" s="2" t="s">
        <v>31</v>
      </c>
      <c r="L257" s="1">
        <v>5.8986301369863012</v>
      </c>
      <c r="M257" s="2" t="s">
        <v>27</v>
      </c>
    </row>
    <row r="258" spans="1:13" x14ac:dyDescent="0.3">
      <c r="A258" s="2" t="s">
        <v>727</v>
      </c>
      <c r="B258" s="2" t="s">
        <v>728</v>
      </c>
      <c r="C258" s="2" t="s">
        <v>729</v>
      </c>
      <c r="D258" s="2" t="s">
        <v>35</v>
      </c>
      <c r="E258" s="2" t="s">
        <v>64</v>
      </c>
      <c r="F258" s="3">
        <v>76320.44</v>
      </c>
      <c r="G258" s="2" t="s">
        <v>18</v>
      </c>
      <c r="H258" s="4">
        <v>44383</v>
      </c>
      <c r="I258" s="2">
        <v>0.8</v>
      </c>
      <c r="J258" s="2" t="s">
        <v>632</v>
      </c>
      <c r="K258" s="2" t="s">
        <v>38</v>
      </c>
      <c r="L258" s="1">
        <v>2.9616438356164383</v>
      </c>
      <c r="M258" s="2" t="s">
        <v>21</v>
      </c>
    </row>
    <row r="259" spans="1:13" x14ac:dyDescent="0.3">
      <c r="A259" s="2" t="s">
        <v>730</v>
      </c>
      <c r="B259" s="2" t="s">
        <v>731</v>
      </c>
      <c r="C259" s="2" t="s">
        <v>732</v>
      </c>
      <c r="D259" s="2" t="s">
        <v>16</v>
      </c>
      <c r="E259" s="2" t="s">
        <v>94</v>
      </c>
      <c r="F259" s="3">
        <v>110906.35</v>
      </c>
      <c r="G259" s="2" t="s">
        <v>37</v>
      </c>
      <c r="H259" s="4">
        <v>43434</v>
      </c>
      <c r="I259" s="2">
        <v>1</v>
      </c>
      <c r="J259" s="2" t="s">
        <v>632</v>
      </c>
      <c r="K259" s="2" t="s">
        <v>20</v>
      </c>
      <c r="L259" s="1">
        <v>5.5616438356164384</v>
      </c>
      <c r="M259" s="2" t="s">
        <v>27</v>
      </c>
    </row>
    <row r="260" spans="1:13" x14ac:dyDescent="0.3">
      <c r="A260" s="2" t="s">
        <v>733</v>
      </c>
      <c r="B260" s="2" t="s">
        <v>734</v>
      </c>
      <c r="C260" s="2" t="s">
        <v>735</v>
      </c>
      <c r="D260" s="2" t="s">
        <v>16</v>
      </c>
      <c r="E260" s="2" t="s">
        <v>64</v>
      </c>
      <c r="F260" s="3">
        <v>29808.07</v>
      </c>
      <c r="G260" s="2" t="s">
        <v>57</v>
      </c>
      <c r="H260" s="4">
        <v>43291</v>
      </c>
      <c r="I260" s="2">
        <v>0.3</v>
      </c>
      <c r="J260" s="2" t="s">
        <v>632</v>
      </c>
      <c r="K260" s="2" t="s">
        <v>26</v>
      </c>
      <c r="L260" s="1">
        <v>5.9534246575342467</v>
      </c>
      <c r="M260" s="2" t="s">
        <v>21</v>
      </c>
    </row>
    <row r="261" spans="1:13" x14ac:dyDescent="0.3">
      <c r="A261" s="2" t="s">
        <v>736</v>
      </c>
      <c r="B261" s="2" t="s">
        <v>737</v>
      </c>
      <c r="C261" s="2" t="s">
        <v>738</v>
      </c>
      <c r="D261" s="2" t="s">
        <v>35</v>
      </c>
      <c r="E261" s="2" t="s">
        <v>36</v>
      </c>
      <c r="F261" s="3">
        <v>47362.62</v>
      </c>
      <c r="G261" s="2" t="s">
        <v>57</v>
      </c>
      <c r="H261" s="4">
        <v>43973</v>
      </c>
      <c r="I261" s="2">
        <v>1</v>
      </c>
      <c r="J261" s="2" t="s">
        <v>632</v>
      </c>
      <c r="K261" s="2" t="s">
        <v>38</v>
      </c>
      <c r="L261" s="1">
        <v>4.0849315068493155</v>
      </c>
      <c r="M261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D10C-5D6A-4B4C-87FC-D6543041F4C5}">
  <dimension ref="A1:E13"/>
  <sheetViews>
    <sheetView workbookViewId="0">
      <selection activeCell="E2" sqref="E2"/>
    </sheetView>
  </sheetViews>
  <sheetFormatPr defaultRowHeight="14.4" x14ac:dyDescent="0.3"/>
  <cols>
    <col min="1" max="1" width="22.44140625" customWidth="1"/>
    <col min="2" max="2" width="23.5546875" customWidth="1"/>
    <col min="3" max="3" width="23.88671875" customWidth="1"/>
    <col min="4" max="4" width="20.21875" customWidth="1"/>
    <col min="5" max="5" width="21.109375" customWidth="1"/>
    <col min="10" max="10" width="8.88671875" customWidth="1"/>
  </cols>
  <sheetData>
    <row r="1" spans="1:5" x14ac:dyDescent="0.3">
      <c r="A1" s="31" t="s">
        <v>4</v>
      </c>
      <c r="B1" s="31" t="s">
        <v>767</v>
      </c>
      <c r="C1" s="31" t="s">
        <v>768</v>
      </c>
      <c r="D1" s="31" t="s">
        <v>770</v>
      </c>
      <c r="E1" s="31" t="s">
        <v>771</v>
      </c>
    </row>
    <row r="2" spans="1:5" x14ac:dyDescent="0.3">
      <c r="A2" s="2" t="s">
        <v>17</v>
      </c>
      <c r="B2">
        <f>COUNTIFS(Data!$E$2:$E$261,A2)</f>
        <v>24</v>
      </c>
      <c r="C2" s="30">
        <f>SUMIFS(Data!$F$2:$F$261,Data!$E$2:$E$261,A2)</f>
        <v>2013215.1600000001</v>
      </c>
      <c r="D2" s="30">
        <f>AVERAGEIFS(staff[Salary],staff[Department],A2)</f>
        <v>83883.965000000011</v>
      </c>
      <c r="E2">
        <f>COUNTIFS(staff[Department], A2, staff[Employee type], "Permanent")</f>
        <v>11</v>
      </c>
    </row>
    <row r="3" spans="1:5" x14ac:dyDescent="0.3">
      <c r="A3" s="2" t="s">
        <v>25</v>
      </c>
      <c r="B3">
        <f>COUNTIFS(Data!$E$2:$E$261,A3)</f>
        <v>26</v>
      </c>
      <c r="C3" s="30">
        <f>SUMIFS(Data!$F$2:$F$261,Data!$E$2:$E$261,A3)</f>
        <v>2074326.9500000002</v>
      </c>
      <c r="D3" s="30">
        <f>AVERAGEIFS(staff[Salary],staff[Department],A3)</f>
        <v>79781.805769230778</v>
      </c>
      <c r="E3">
        <f>COUNTIFS(staff[Department], A3, staff[Employee type], "Permanent")</f>
        <v>18</v>
      </c>
    </row>
    <row r="4" spans="1:5" x14ac:dyDescent="0.3">
      <c r="A4" s="2" t="s">
        <v>36</v>
      </c>
      <c r="B4">
        <f>COUNTIFS(Data!$E$2:$E$261,A4)</f>
        <v>26</v>
      </c>
      <c r="C4" s="30">
        <f>SUMIFS(Data!$F$2:$F$261,Data!$E$2:$E$261,A4)</f>
        <v>2131387.4899999998</v>
      </c>
      <c r="D4" s="30">
        <f>AVERAGEIFS(staff[Salary],staff[Department],A4)</f>
        <v>81976.441923076913</v>
      </c>
      <c r="E4">
        <f>COUNTIFS(staff[Department], A4, staff[Employee type], "Permanent")</f>
        <v>16</v>
      </c>
    </row>
    <row r="5" spans="1:5" x14ac:dyDescent="0.3">
      <c r="A5" s="2" t="s">
        <v>42</v>
      </c>
      <c r="B5">
        <f>COUNTIFS(Data!$E$2:$E$261,A5)</f>
        <v>12</v>
      </c>
      <c r="C5" s="30">
        <f>SUMIFS(Data!$F$2:$F$261,Data!$E$2:$E$261,A5)</f>
        <v>773295.6</v>
      </c>
      <c r="D5" s="30">
        <f>AVERAGEIFS(staff[Salary],staff[Department],A5)</f>
        <v>64441.299999999996</v>
      </c>
      <c r="E5">
        <f>COUNTIFS(staff[Department], A5, staff[Employee type], "Permanent")</f>
        <v>9</v>
      </c>
    </row>
    <row r="6" spans="1:5" x14ac:dyDescent="0.3">
      <c r="A6" s="2" t="s">
        <v>49</v>
      </c>
      <c r="B6">
        <f>COUNTIFS(Data!$E$2:$E$261,A6)</f>
        <v>21</v>
      </c>
      <c r="C6" s="30">
        <f>SUMIFS(Data!$F$2:$F$261,Data!$E$2:$E$261,A6)</f>
        <v>1412092.87</v>
      </c>
      <c r="D6" s="30">
        <f>AVERAGEIFS(staff[Salary],staff[Department],A6)</f>
        <v>67242.51761904762</v>
      </c>
      <c r="E6">
        <f>COUNTIFS(staff[Department], A6, staff[Employee type], "Permanent")</f>
        <v>13</v>
      </c>
    </row>
    <row r="7" spans="1:5" x14ac:dyDescent="0.3">
      <c r="A7" s="2" t="s">
        <v>53</v>
      </c>
      <c r="B7">
        <f>COUNTIFS(Data!$E$2:$E$261,A7)</f>
        <v>26</v>
      </c>
      <c r="C7" s="30">
        <f>SUMIFS(Data!$F$2:$F$261,Data!$E$2:$E$261,A7)</f>
        <v>1814980.59</v>
      </c>
      <c r="D7" s="30">
        <f>AVERAGEIFS(staff[Salary],staff[Department],A7)</f>
        <v>69806.945769230777</v>
      </c>
      <c r="E7">
        <f>COUNTIFS(staff[Department], A7, staff[Employee type], "Permanent")</f>
        <v>18</v>
      </c>
    </row>
    <row r="8" spans="1:5" x14ac:dyDescent="0.3">
      <c r="A8" s="2" t="s">
        <v>64</v>
      </c>
      <c r="B8">
        <f>COUNTIFS(Data!$E$2:$E$261,A8)</f>
        <v>22</v>
      </c>
      <c r="C8" s="30">
        <f>SUMIFS(Data!$F$2:$F$261,Data!$E$2:$E$261,A8)</f>
        <v>1608406.3100000003</v>
      </c>
      <c r="D8" s="30">
        <f>AVERAGEIFS(staff[Salary],staff[Department],A8)</f>
        <v>73109.377727272746</v>
      </c>
      <c r="E8">
        <f>COUNTIFS(staff[Department], A8, staff[Employee type], "Permanent")</f>
        <v>13</v>
      </c>
    </row>
    <row r="9" spans="1:5" x14ac:dyDescent="0.3">
      <c r="A9" s="2" t="s">
        <v>68</v>
      </c>
      <c r="B9">
        <f>COUNTIFS(Data!$E$2:$E$261,A9)</f>
        <v>18</v>
      </c>
      <c r="C9" s="30">
        <f>SUMIFS(Data!$F$2:$F$261,Data!$E$2:$E$261,A9)</f>
        <v>1204393.78</v>
      </c>
      <c r="D9" s="30">
        <f>AVERAGEIFS(staff[Salary],staff[Department],A9)</f>
        <v>66910.765555555554</v>
      </c>
      <c r="E9">
        <f>COUNTIFS(staff[Department], A9, staff[Employee type], "Permanent")</f>
        <v>11</v>
      </c>
    </row>
    <row r="10" spans="1:5" x14ac:dyDescent="0.3">
      <c r="A10" s="2" t="s">
        <v>87</v>
      </c>
      <c r="B10">
        <f>COUNTIFS(Data!$E$2:$E$261,A10)</f>
        <v>21</v>
      </c>
      <c r="C10" s="30">
        <f>SUMIFS(Data!$F$2:$F$261,Data!$E$2:$E$261,A10)</f>
        <v>1568153.47</v>
      </c>
      <c r="D10" s="30">
        <f>AVERAGEIFS(staff[Salary],staff[Department],A10)</f>
        <v>74673.974761904756</v>
      </c>
      <c r="E10">
        <f>COUNTIFS(staff[Department], A10, staff[Employee type], "Permanent")</f>
        <v>16</v>
      </c>
    </row>
    <row r="11" spans="1:5" x14ac:dyDescent="0.3">
      <c r="A11" s="2" t="s">
        <v>94</v>
      </c>
      <c r="B11">
        <f>COUNTIFS(Data!$E$2:$E$261,A11)</f>
        <v>29</v>
      </c>
      <c r="C11" s="30">
        <f>SUMIFS(Data!$F$2:$F$261,Data!$E$2:$E$261,A11)</f>
        <v>2180192.8699999992</v>
      </c>
      <c r="D11" s="30">
        <f>AVERAGEIFS(staff[Salary],staff[Department],A11)</f>
        <v>75179.064482758593</v>
      </c>
      <c r="E11">
        <f>COUNTIFS(staff[Department], A11, staff[Employee type], "Permanent")</f>
        <v>19</v>
      </c>
    </row>
    <row r="12" spans="1:5" x14ac:dyDescent="0.3">
      <c r="A12" s="2" t="s">
        <v>116</v>
      </c>
      <c r="B12">
        <f>COUNTIFS(Data!$E$2:$E$261,A12)</f>
        <v>17</v>
      </c>
      <c r="C12" s="30">
        <f>SUMIFS(Data!$F$2:$F$261,Data!$E$2:$E$261,A12)</f>
        <v>1129351.75</v>
      </c>
      <c r="D12" s="30">
        <f>AVERAGEIFS(staff[Salary],staff[Department],A12)</f>
        <v>66432.455882352937</v>
      </c>
      <c r="E12">
        <f>COUNTIFS(staff[Department], A12, staff[Employee type], "Permanent")</f>
        <v>11</v>
      </c>
    </row>
    <row r="13" spans="1:5" x14ac:dyDescent="0.3">
      <c r="A13" s="2" t="s">
        <v>126</v>
      </c>
      <c r="B13">
        <f>COUNTIFS(Data!$E$2:$E$261,A13)</f>
        <v>18</v>
      </c>
      <c r="C13" s="30">
        <f>SUMIFS(Data!$F$2:$F$261,Data!$E$2:$E$261,A13)</f>
        <v>1294147.72</v>
      </c>
      <c r="D13" s="30">
        <f>AVERAGEIFS(staff[Salary],staff[Department],A13)</f>
        <v>71897.095555555556</v>
      </c>
      <c r="E13">
        <f>COUNTIFS(staff[Department], A13, staff[Employee type], "Permanent")</f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0D7B-05E8-40C0-981F-094433B93336}">
  <dimension ref="C5:F10"/>
  <sheetViews>
    <sheetView workbookViewId="0">
      <selection activeCell="E6" sqref="E6"/>
    </sheetView>
  </sheetViews>
  <sheetFormatPr defaultRowHeight="14.4" x14ac:dyDescent="0.3"/>
  <cols>
    <col min="3" max="3" width="12.5546875" customWidth="1"/>
    <col min="4" max="4" width="14.5546875" customWidth="1"/>
    <col min="5" max="5" width="14.21875" customWidth="1"/>
    <col min="6" max="6" width="14.44140625" customWidth="1"/>
  </cols>
  <sheetData>
    <row r="5" spans="3:6" ht="21" customHeight="1" x14ac:dyDescent="0.3">
      <c r="C5" s="31" t="s">
        <v>776</v>
      </c>
      <c r="D5" s="31" t="s">
        <v>774</v>
      </c>
      <c r="E5" s="31" t="s">
        <v>35</v>
      </c>
      <c r="F5" s="31" t="s">
        <v>16</v>
      </c>
    </row>
    <row r="6" spans="3:6" ht="19.8" customHeight="1" x14ac:dyDescent="0.3">
      <c r="C6" s="31" t="s">
        <v>772</v>
      </c>
      <c r="D6" s="30">
        <f>MIN(staff[Salary])</f>
        <v>28160.79</v>
      </c>
      <c r="E6" s="30">
        <f>_xlfn.MINIFS(staff[Salary],staff[Gender], "Male")</f>
        <v>28160.79</v>
      </c>
      <c r="F6" s="30">
        <f>_xlfn.MINIFS(staff[Salary],staff[Gender], "Female")</f>
        <v>28305.08</v>
      </c>
    </row>
    <row r="7" spans="3:6" ht="19.2" customHeight="1" x14ac:dyDescent="0.3">
      <c r="C7" s="31" t="s">
        <v>773</v>
      </c>
      <c r="D7" s="30">
        <f>MAX(staff[Salary])</f>
        <v>120000</v>
      </c>
      <c r="E7" s="30">
        <f>_xlfn.MAXIFS(staff[Salary],staff[Gender], "Male")</f>
        <v>120000</v>
      </c>
      <c r="F7" s="30">
        <f>_xlfn.MAXIFS(staff[Salary],staff[Gender], "Female")</f>
        <v>120000</v>
      </c>
    </row>
    <row r="8" spans="3:6" ht="19.8" customHeight="1" x14ac:dyDescent="0.3">
      <c r="C8" s="31" t="s">
        <v>775</v>
      </c>
      <c r="D8" s="30">
        <f>LARGE(staff[Salary],1)</f>
        <v>120000</v>
      </c>
      <c r="E8" s="30"/>
      <c r="F8" s="30"/>
    </row>
    <row r="9" spans="3:6" ht="21" customHeight="1" x14ac:dyDescent="0.3">
      <c r="D9" s="30">
        <f>LARGE(staff[Salary],2)</f>
        <v>120000</v>
      </c>
      <c r="E9" s="30"/>
      <c r="F9" s="30"/>
    </row>
    <row r="10" spans="3:6" ht="19.8" customHeight="1" x14ac:dyDescent="0.3">
      <c r="D10" s="30">
        <f>LARGE(staff[Salary],3)</f>
        <v>119022.49</v>
      </c>
      <c r="E10" s="30"/>
      <c r="F10" s="3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0AE9-E3A1-4860-A0DC-F9C6347382AD}">
  <dimension ref="C3:E18"/>
  <sheetViews>
    <sheetView tabSelected="1" topLeftCell="A6" workbookViewId="0">
      <selection activeCell="D18" sqref="D18"/>
    </sheetView>
  </sheetViews>
  <sheetFormatPr defaultRowHeight="14.4" x14ac:dyDescent="0.3"/>
  <cols>
    <col min="3" max="3" width="18.33203125" customWidth="1"/>
    <col min="4" max="4" width="24.21875" customWidth="1"/>
  </cols>
  <sheetData>
    <row r="3" spans="3:5" x14ac:dyDescent="0.3">
      <c r="C3" s="32" t="s">
        <v>777</v>
      </c>
    </row>
    <row r="6" spans="3:5" x14ac:dyDescent="0.3">
      <c r="C6" t="s">
        <v>778</v>
      </c>
      <c r="D6" s="35" t="s">
        <v>181</v>
      </c>
      <c r="E6" s="2"/>
    </row>
    <row r="7" spans="3:5" x14ac:dyDescent="0.3">
      <c r="D7" s="33"/>
    </row>
    <row r="8" spans="3:5" x14ac:dyDescent="0.3">
      <c r="C8" t="s">
        <v>1</v>
      </c>
      <c r="D8" s="33" t="str">
        <f>VLOOKUP(D6,staff[],2,FALSE)</f>
        <v>Sameer</v>
      </c>
    </row>
    <row r="9" spans="3:5" x14ac:dyDescent="0.3">
      <c r="C9" t="s">
        <v>2</v>
      </c>
      <c r="D9" s="33" t="str">
        <f>VLOOKUP(D6,staff[],3,FALSE)</f>
        <v>Shashank</v>
      </c>
    </row>
    <row r="10" spans="3:5" x14ac:dyDescent="0.3">
      <c r="C10" t="s">
        <v>4</v>
      </c>
      <c r="D10" s="33" t="str">
        <f>VLOOKUP(D6,staff[],5,FALSE)</f>
        <v>Research and Development</v>
      </c>
    </row>
    <row r="11" spans="3:5" x14ac:dyDescent="0.3">
      <c r="C11" t="s">
        <v>5</v>
      </c>
      <c r="D11" s="34">
        <f>VLOOKUP(D6,staff[],6,FALSE)</f>
        <v>92336.08</v>
      </c>
    </row>
    <row r="13" spans="3:5" x14ac:dyDescent="0.3">
      <c r="E13" s="2"/>
    </row>
    <row r="14" spans="3:5" x14ac:dyDescent="0.3">
      <c r="C14" t="s">
        <v>2</v>
      </c>
      <c r="D14" s="2" t="s">
        <v>41</v>
      </c>
    </row>
    <row r="15" spans="3:5" x14ac:dyDescent="0.3">
      <c r="C15" t="s">
        <v>779</v>
      </c>
      <c r="D15">
        <f>MATCH(D14,staff[Last Name],0)</f>
        <v>6</v>
      </c>
    </row>
    <row r="16" spans="3:5" x14ac:dyDescent="0.3">
      <c r="C16" t="s">
        <v>780</v>
      </c>
      <c r="D16" t="str">
        <f>INDEX(staff[Emp ID],D15)</f>
        <v>PR00246</v>
      </c>
    </row>
    <row r="17" spans="3:4" x14ac:dyDescent="0.3">
      <c r="C17" t="s">
        <v>4</v>
      </c>
      <c r="D17" t="str">
        <f>INDEX(staff[Department],D15)</f>
        <v>Marketing</v>
      </c>
    </row>
    <row r="18" spans="3:4" x14ac:dyDescent="0.3">
      <c r="C18" t="s">
        <v>5</v>
      </c>
      <c r="D18" s="30">
        <f>INDEX(staff[Salary],D15)</f>
        <v>67905.8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7377E9-7106-4330-AAC0-E9CD838A4C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Concepts</vt:lpstr>
      <vt:lpstr>Data</vt:lpstr>
      <vt:lpstr>Count,Sum,Avg ifs</vt:lpstr>
      <vt:lpstr>Min,Max,Large</vt:lpstr>
      <vt:lpstr>VLOOKUP, MATCH,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R</dc:creator>
  <cp:lastModifiedBy>Vishnu R</cp:lastModifiedBy>
  <dcterms:created xsi:type="dcterms:W3CDTF">2026-03-27T04:49:24Z</dcterms:created>
  <dcterms:modified xsi:type="dcterms:W3CDTF">2026-03-29T01:50:14Z</dcterms:modified>
</cp:coreProperties>
</file>